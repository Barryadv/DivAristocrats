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arry\Documents\GitHub\BE-P\DivArist\"/>
    </mc:Choice>
  </mc:AlternateContent>
  <xr:revisionPtr revIDLastSave="0" documentId="13_ncr:1_{75C4FCED-92C3-4443-8F9C-69AC29DF419E}" xr6:coauthVersionLast="47" xr6:coauthVersionMax="47" xr10:uidLastSave="{00000000-0000-0000-0000-000000000000}"/>
  <bookViews>
    <workbookView xWindow="2628" yWindow="516" windowWidth="18888" windowHeight="1298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8" i="1" l="1"/>
  <c r="O15" i="1"/>
  <c r="O28" i="1"/>
  <c r="O57" i="1"/>
  <c r="O47" i="1"/>
  <c r="O66" i="1"/>
  <c r="O33" i="1"/>
  <c r="O20" i="1"/>
  <c r="O13" i="1"/>
  <c r="O50" i="1"/>
  <c r="O17" i="1"/>
  <c r="O31" i="1"/>
  <c r="O30" i="1"/>
  <c r="O38" i="1"/>
  <c r="O68" i="1"/>
  <c r="O23" i="1"/>
  <c r="O36" i="1"/>
  <c r="O65" i="1"/>
  <c r="O12" i="1"/>
  <c r="O7" i="1"/>
  <c r="O25" i="1"/>
  <c r="O43" i="1"/>
  <c r="O14" i="1"/>
  <c r="O71" i="1"/>
  <c r="O58" i="1"/>
  <c r="O69" i="1"/>
  <c r="O32" i="1"/>
  <c r="O46" i="1"/>
  <c r="O42" i="1"/>
  <c r="O8" i="1"/>
  <c r="O56" i="1"/>
  <c r="O53" i="1"/>
  <c r="O59" i="1"/>
  <c r="O51" i="1"/>
  <c r="O39" i="1"/>
  <c r="O29" i="1"/>
  <c r="O26" i="1"/>
  <c r="O60" i="1"/>
  <c r="O11" i="1"/>
  <c r="O49" i="1"/>
  <c r="O62" i="1"/>
  <c r="O44" i="1"/>
  <c r="O35" i="1"/>
  <c r="O21" i="1"/>
  <c r="O6" i="1"/>
  <c r="O19" i="1"/>
  <c r="O16" i="1"/>
  <c r="O67" i="1"/>
  <c r="O41" i="1"/>
  <c r="O24" i="1"/>
  <c r="O63" i="1"/>
  <c r="O70" i="1"/>
  <c r="O61" i="1"/>
  <c r="O34" i="1"/>
  <c r="O45" i="1"/>
  <c r="O37" i="1"/>
  <c r="O54" i="1"/>
  <c r="O5" i="1"/>
  <c r="O27" i="1"/>
  <c r="O64" i="1"/>
  <c r="O10" i="1"/>
  <c r="O22" i="1"/>
  <c r="O9" i="1"/>
  <c r="O52" i="1"/>
  <c r="O18" i="1"/>
  <c r="O55" i="1"/>
  <c r="O40" i="1"/>
</calcChain>
</file>

<file path=xl/sharedStrings.xml><?xml version="1.0" encoding="utf-8"?>
<sst xmlns="http://schemas.openxmlformats.org/spreadsheetml/2006/main" count="155" uniqueCount="155">
  <si>
    <t>EQY_FUND_CRNCY</t>
  </si>
  <si>
    <t>REL_INDEX</t>
  </si>
  <si>
    <t>FA_ADJUSTED</t>
  </si>
  <si>
    <t>USD</t>
  </si>
  <si>
    <t>Ticker</t>
  </si>
  <si>
    <t>Name</t>
  </si>
  <si>
    <t>MSCI Market Cap</t>
  </si>
  <si>
    <t>BEst Div Yld BF12M</t>
  </si>
  <si>
    <t>Net Debt to EBITDA LF</t>
  </si>
  <si>
    <t>P/B</t>
  </si>
  <si>
    <t>NI / Profit - 5 Yr Geo Gr LF</t>
  </si>
  <si>
    <t>FCF T12M</t>
  </si>
  <si>
    <t>Div Pd T12M</t>
  </si>
  <si>
    <t>30 Day Annualized Volat</t>
  </si>
  <si>
    <t>BEst NI:Y+2</t>
  </si>
  <si>
    <t>BEst NI:Y</t>
  </si>
  <si>
    <t>Price:D-1</t>
  </si>
  <si>
    <t>Price:Y-1</t>
  </si>
  <si>
    <t>Listing Date</t>
  </si>
  <si>
    <t>None (81 securities)</t>
  </si>
  <si>
    <t>HMCL IN Equity</t>
  </si>
  <si>
    <t>HERO MOTOCORP LTD</t>
  </si>
  <si>
    <t>AMXB MM Equity</t>
  </si>
  <si>
    <t>AMERICA MOVIL SAB DE C-SER B</t>
  </si>
  <si>
    <t>ALDAR UH Equity</t>
  </si>
  <si>
    <t>ALDAR PROPERTIES PJSC</t>
  </si>
  <si>
    <t>603939 CH Equity</t>
  </si>
  <si>
    <t>YIFENG PHARMACY CHAIN CO L-A</t>
  </si>
  <si>
    <t>NAM IN Equity</t>
  </si>
  <si>
    <t>NIPPON LIFE INDIA ASSET MANA</t>
  </si>
  <si>
    <t>300017 CH Equity</t>
  </si>
  <si>
    <t>WANGSU SCIENCE &amp; TECHNOLOG-A</t>
  </si>
  <si>
    <t>002311 CH Equity</t>
  </si>
  <si>
    <t>GUANGDONG HAID GROUP CO-A</t>
  </si>
  <si>
    <t>2357 HK Equity</t>
  </si>
  <si>
    <t>AVICHINA INDUSTRY &amp; TECH-H</t>
  </si>
  <si>
    <t>PPH SJ Equity</t>
  </si>
  <si>
    <t>PEPKOR HOLDINGS LTD</t>
  </si>
  <si>
    <t>601058 CH Equity</t>
  </si>
  <si>
    <t>SAILUN GROUP CO LTD-A</t>
  </si>
  <si>
    <t>9633 HK Equity</t>
  </si>
  <si>
    <t>NONGFU SPRING CO LTD-H</t>
  </si>
  <si>
    <t>IGL IN Equity</t>
  </si>
  <si>
    <t>INDRAPRASTHA GAS LTD</t>
  </si>
  <si>
    <t>000729 CH Equity</t>
  </si>
  <si>
    <t>BEIJING YANJING BREWERY CO-A</t>
  </si>
  <si>
    <t>HDFCAMC IN Equity</t>
  </si>
  <si>
    <t>HDFC ASSET MANAGEMENT CO LTD</t>
  </si>
  <si>
    <t>603568 CH Equity</t>
  </si>
  <si>
    <t>ZHEJIANG WEIMING ENVIRONME-A</t>
  </si>
  <si>
    <t>688188 CH Equity</t>
  </si>
  <si>
    <t>SHANGHAI BOCHU ELECTRONIC-A</t>
  </si>
  <si>
    <t>000963 CH Equity</t>
  </si>
  <si>
    <t>HUADONG MEDICINE CO LTD-A</t>
  </si>
  <si>
    <t>000997 CH Equity</t>
  </si>
  <si>
    <t>NEWLAND DIGITAL TECHNOLOGY-A</t>
  </si>
  <si>
    <t>002273 CH Equity</t>
  </si>
  <si>
    <t>ZHEJIANG CRYSTAL-OPTECH -A</t>
  </si>
  <si>
    <t>FNH MK Equity</t>
  </si>
  <si>
    <t>FRASER &amp; NEAVE HOLDINGS BHD</t>
  </si>
  <si>
    <t>GRUMAB MM Equity</t>
  </si>
  <si>
    <t>GRUMA S.A.B.-B</t>
  </si>
  <si>
    <t>MRCO IN Equity</t>
  </si>
  <si>
    <t>MARICO LTD</t>
  </si>
  <si>
    <t>300627 CH Equity</t>
  </si>
  <si>
    <t>SHANGHAI HUACE NAVIGATION -A</t>
  </si>
  <si>
    <t>RADL3 BZ Equity</t>
  </si>
  <si>
    <t>RAIA DROGASIL SA</t>
  </si>
  <si>
    <t>BRIT IN Equity</t>
  </si>
  <si>
    <t>BRITANNIA INDUSTRIES LTD</t>
  </si>
  <si>
    <t>PMAH MK Equity</t>
  </si>
  <si>
    <t>PRESS METAL ALUMINIUM HOLDIN</t>
  </si>
  <si>
    <t>300373 CH Equity</t>
  </si>
  <si>
    <t>YANGZHOU YANGJIE ELECTRONI-A</t>
  </si>
  <si>
    <t>FRCB MK Equity</t>
  </si>
  <si>
    <t>FRONTKEN CORP BHD</t>
  </si>
  <si>
    <t>603606 CH Equity</t>
  </si>
  <si>
    <t>NINGBO ORIENT WIRES &amp; CABL-A</t>
  </si>
  <si>
    <t>MSIL IN Equity</t>
  </si>
  <si>
    <t>MARUTI SUZUKI INDIA LTD</t>
  </si>
  <si>
    <t>090430 KS Equity</t>
  </si>
  <si>
    <t>AMOREPACIFIC CORP</t>
  </si>
  <si>
    <t>COFORGE IN Equity</t>
  </si>
  <si>
    <t>COFORGE LIMITED</t>
  </si>
  <si>
    <t>EIM IN Equity</t>
  </si>
  <si>
    <t>EICHER MOTORS LTD</t>
  </si>
  <si>
    <t>KKC IN Equity</t>
  </si>
  <si>
    <t>CUMMINS INDIA LTD</t>
  </si>
  <si>
    <t>000887 CH Equity</t>
  </si>
  <si>
    <t>ANHUI ZHONGDING SEALING PA-A</t>
  </si>
  <si>
    <t>700 HK Equity</t>
  </si>
  <si>
    <t>TENCENT HOLDINGS LTD</t>
  </si>
  <si>
    <t>APNT IN Equity</t>
  </si>
  <si>
    <t>ASIAN PAINTS LTD</t>
  </si>
  <si>
    <t>ESCORTS IN Equity</t>
  </si>
  <si>
    <t>ESCORTS KUBOTA LTD</t>
  </si>
  <si>
    <t>TATACONS IN Equity</t>
  </si>
  <si>
    <t>TATA CONSUMER PRODUCTS LTD</t>
  </si>
  <si>
    <t>SCHFL IN Equity</t>
  </si>
  <si>
    <t>SCHAEFFLER INDIA LTD</t>
  </si>
  <si>
    <t>300124 CH Equity</t>
  </si>
  <si>
    <t>SHENZHEN INOVANCE TECHNOLO-A</t>
  </si>
  <si>
    <t>TRP IN Equity</t>
  </si>
  <si>
    <t>TORRENT PHARMACEUTICALS LTD</t>
  </si>
  <si>
    <t>BHE IN Equity</t>
  </si>
  <si>
    <t>BHARAT ELECTRONICS LTD</t>
  </si>
  <si>
    <t>MOTHERSO IN Equity</t>
  </si>
  <si>
    <t>SAMVARDHANA MOTHERSON INTERN</t>
  </si>
  <si>
    <t>BRGR IN Equity</t>
  </si>
  <si>
    <t>BERGER PAINTS INDIA LTD</t>
  </si>
  <si>
    <t>MCX IN Equity</t>
  </si>
  <si>
    <t>MULTI COMMODITY EXCH INDIA</t>
  </si>
  <si>
    <t>PSYS IN Equity</t>
  </si>
  <si>
    <t>PERSISTENT SYSTEMS LTD</t>
  </si>
  <si>
    <t>HNDL IN Equity</t>
  </si>
  <si>
    <t>HINDALCO INDUSTRIES LTD</t>
  </si>
  <si>
    <t>BHFC IN Equity</t>
  </si>
  <si>
    <t>BHARAT FORGE LTD</t>
  </si>
  <si>
    <t>ASTERDM IN Equity</t>
  </si>
  <si>
    <t>ASTER DM HEALTHCARE LTD</t>
  </si>
  <si>
    <t>300458 CH Equity</t>
  </si>
  <si>
    <t>ALL WINNER TECHNOLOGY CO L-A</t>
  </si>
  <si>
    <t>CRIN IN Equity</t>
  </si>
  <si>
    <t>COROMANDEL INTERNATIONAL LTD</t>
  </si>
  <si>
    <t>AIAE IN Equity</t>
  </si>
  <si>
    <t>AIA ENGINEERING LTD</t>
  </si>
  <si>
    <t>APAT IN Equity</t>
  </si>
  <si>
    <t>APL APOLLO TUBES LTD</t>
  </si>
  <si>
    <t>JDSL IN Equity</t>
  </si>
  <si>
    <t>JINDAL STAINLESS LTD</t>
  </si>
  <si>
    <t>RELIANCE IN Equity</t>
  </si>
  <si>
    <t>RELIANCE INDUSTRIES LIMITED</t>
  </si>
  <si>
    <t>603501 CH Equity</t>
  </si>
  <si>
    <t>OMNIVISION INTEGRATED CIRCUI</t>
  </si>
  <si>
    <t>INDIGO IN Equity</t>
  </si>
  <si>
    <t>INTERGLOBE AVIATION LTD</t>
  </si>
  <si>
    <t>SRF IN Equity</t>
  </si>
  <si>
    <t>SRF LTD</t>
  </si>
  <si>
    <t>MAXF IN Equity</t>
  </si>
  <si>
    <t>MAX FINANCIAL SERVICES LTD</t>
  </si>
  <si>
    <t>600363 CH Equity</t>
  </si>
  <si>
    <t>JIANGXI LIANCHUANG OPTOELE-A</t>
  </si>
  <si>
    <t>RDCK IN Equity</t>
  </si>
  <si>
    <t>RADICO KHAITAN LTD</t>
  </si>
  <si>
    <t>MRF IN Equity</t>
  </si>
  <si>
    <t>MRF LTD</t>
  </si>
  <si>
    <t>FORH IN Equity</t>
  </si>
  <si>
    <t>FORTIS HEALTHCARE LTD</t>
  </si>
  <si>
    <t>LLOYDSME IN Equity</t>
  </si>
  <si>
    <t>LLOYDS METALS &amp; ENERGY LTD</t>
  </si>
  <si>
    <t>SOIL IN Equity</t>
  </si>
  <si>
    <t>SOLAR INDUSTRIES INDIA LTD</t>
  </si>
  <si>
    <t>MAADEN AB Equity</t>
  </si>
  <si>
    <t>SAUDI ARABIAN MINING CO</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</si>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</sst>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right"/>
    </xf>
    <xf numFmtId="0" fontId="7" fillId="3" borderId="0" xfId="4" applyFont="1">
      <alignment horizontal="center"/>
    </xf>
    <xf numFmtId="0" fontId="6" fillId="0" borderId="0" xfId="28" applyFont="1" applyAlignment="1">
      <alignment horizontal="left"/>
    </xf>
    <xf numFmtId="2" fontId="6" fillId="0" borderId="0" xfId="28" applyNumberFormat="1" applyFont="1" applyAlignment="1">
      <alignment horizontal="right"/>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73"/>
  <sheetViews>
    <sheetView tabSelected="1" topLeftCell="A17" workbookViewId="0">
      <selection activeCell="A22" sqref="A22"/>
    </sheetView>
  </sheetViews>
  <sheetFormatPr defaultColWidth="9.109375" defaultRowHeight="12"/>
  <cols>
    <col min="1" max="1" width="21.21875" style="2" customWidth="1"/>
    <col min="2" max="2" width="37.6640625" style="2" customWidth="1"/>
    <col min="3" max="3" width="17.33203125" style="2" customWidth="1"/>
    <col min="4" max="4" width="20" style="2" customWidth="1"/>
    <col min="5" max="5" width="22.5546875" style="2" customWidth="1"/>
    <col min="6" max="6" width="9.109375" style="2" customWidth="1"/>
    <col min="7" max="7" width="25.6640625" style="2" customWidth="1"/>
    <col min="8" max="8" width="16.109375" style="2" customWidth="1"/>
    <col min="9" max="9" width="15.6640625" style="2" customWidth="1"/>
    <col min="10" max="10" width="24" style="2" customWidth="1"/>
    <col min="11" max="12" width="16.109375" style="2" customWidth="1"/>
    <col min="13" max="13" width="10" style="2" customWidth="1"/>
    <col min="14" max="14" width="9.88671875" style="2" customWidth="1"/>
    <col min="15" max="15" width="12.5546875" style="1" customWidth="1"/>
    <col min="16" max="16" width="9.109375" style="1" customWidth="1"/>
    <col min="17" max="16384" width="9.109375" style="1"/>
  </cols>
  <sheetData>
    <row r="1" spans="1:15" s="3" customFormat="1" ht="13.2">
      <c r="A1" s="4" t="s">
        <v>0</v>
      </c>
      <c r="B1" s="4" t="s">
        <v>1</v>
      </c>
      <c r="C1" s="4" t="s">
        <v>2</v>
      </c>
      <c r="D1" s="5"/>
      <c r="E1" s="5"/>
      <c r="F1" s="5"/>
      <c r="G1" s="5"/>
      <c r="H1" s="5"/>
      <c r="I1" s="5"/>
      <c r="J1" s="5"/>
      <c r="K1" s="5"/>
      <c r="L1" s="5"/>
      <c r="M1" s="5"/>
      <c r="N1" s="5"/>
    </row>
    <row r="2" spans="1:15" s="3" customFormat="1" ht="13.2">
      <c r="A2" s="4" t="s">
        <v>3</v>
      </c>
      <c r="B2" s="5"/>
      <c r="C2" s="5"/>
      <c r="D2" s="5"/>
      <c r="E2" s="5"/>
      <c r="F2" s="5"/>
      <c r="G2" s="5"/>
      <c r="H2" s="5"/>
      <c r="I2" s="5"/>
      <c r="J2" s="5"/>
      <c r="K2" s="5"/>
      <c r="L2" s="5"/>
      <c r="M2" s="5"/>
      <c r="N2" s="5"/>
    </row>
    <row r="3" spans="1:15" ht="13.2">
      <c r="A3" s="6" t="s">
        <v>4</v>
      </c>
      <c r="B3" s="6" t="s">
        <v>5</v>
      </c>
      <c r="C3" s="6" t="s">
        <v>6</v>
      </c>
      <c r="D3" s="6" t="s">
        <v>7</v>
      </c>
      <c r="E3" s="6" t="s">
        <v>8</v>
      </c>
      <c r="F3" s="6" t="s">
        <v>9</v>
      </c>
      <c r="G3" s="6" t="s">
        <v>10</v>
      </c>
      <c r="H3" s="6" t="s">
        <v>11</v>
      </c>
      <c r="I3" s="6" t="s">
        <v>12</v>
      </c>
      <c r="J3" s="6" t="s">
        <v>13</v>
      </c>
      <c r="K3" s="6" t="s">
        <v>14</v>
      </c>
      <c r="L3" s="6" t="s">
        <v>15</v>
      </c>
      <c r="M3" s="6" t="s">
        <v>16</v>
      </c>
      <c r="N3" s="6" t="s">
        <v>17</v>
      </c>
      <c r="O3" s="6" t="s">
        <v>18</v>
      </c>
    </row>
    <row r="4" spans="1:15" s="3" customFormat="1" ht="13.2">
      <c r="A4" s="7" t="s">
        <v>19</v>
      </c>
      <c r="B4" s="7"/>
      <c r="C4" s="8"/>
      <c r="D4" s="8"/>
      <c r="E4" s="8"/>
      <c r="F4" s="8"/>
      <c r="G4" s="8"/>
      <c r="H4" s="8"/>
      <c r="I4" s="8"/>
      <c r="J4" s="8"/>
      <c r="K4" s="8"/>
      <c r="L4" s="8"/>
      <c r="M4" s="8"/>
      <c r="N4" s="8"/>
      <c r="O4" s="7"/>
    </row>
    <row r="5" spans="1:15" s="3" customFormat="1" ht="13.2">
      <c r="A5" s="7" t="s">
        <v>20</v>
      </c>
      <c r="B5" s="7" t="s">
        <v>21</v>
      </c>
      <c r="C5" s="8">
        <v>8438218795.7960558</v>
      </c>
      <c r="D5" s="8">
        <v>2.933438854722819</v>
      </c>
      <c r="E5" s="8">
        <v>-1.0981425311947786</v>
      </c>
      <c r="F5" s="8">
        <v>6.5077071189880371</v>
      </c>
      <c r="G5" s="8">
        <v>3.7742274272209331</v>
      </c>
      <c r="H5" s="8">
        <v>460347393.27159536</v>
      </c>
      <c r="I5" s="8">
        <v>-331236557.24863809</v>
      </c>
      <c r="J5" s="8">
        <v>25.109474740325656</v>
      </c>
      <c r="K5" s="8">
        <v>707997353.22183502</v>
      </c>
      <c r="L5" s="8">
        <v>560409546.30282509</v>
      </c>
      <c r="M5" s="8">
        <v>69.972509500000001</v>
      </c>
      <c r="N5" s="8">
        <v>56.031709999999997</v>
      </c>
      <c r="O5" s="7" t="e">
        <f ca="1">_xll.BDP($A5,"LISTING_DATE",$A$1,$A$2)</f>
        <v>#NAME?</v>
      </c>
    </row>
    <row r="6" spans="1:15" s="3" customFormat="1" ht="13.2">
      <c r="A6" s="7" t="s">
        <v>22</v>
      </c>
      <c r="B6" s="7" t="s">
        <v>23</v>
      </c>
      <c r="C6" s="8">
        <v>20190173151.16502</v>
      </c>
      <c r="D6" s="8">
        <v>2.926951197166217</v>
      </c>
      <c r="E6" s="8">
        <v>1.9511835338758623</v>
      </c>
      <c r="F6" s="8">
        <v>3.1458976268768311</v>
      </c>
      <c r="G6" s="8">
        <v>3.7747669932491457</v>
      </c>
      <c r="H6" s="8">
        <v>6563766567.8824911</v>
      </c>
      <c r="I6" s="8">
        <v>-1641762117.6248276</v>
      </c>
      <c r="J6" s="8">
        <v>20.009829894884085</v>
      </c>
      <c r="K6" s="8">
        <v>6090823608.2350235</v>
      </c>
      <c r="L6" s="8">
        <v>4667592247.7941904</v>
      </c>
      <c r="M6" s="8">
        <v>1.1184105417251586</v>
      </c>
      <c r="N6" s="8">
        <v>0.74540799999999996</v>
      </c>
      <c r="O6" s="7" t="e">
        <f ca="1">_xll.BDP($A6,"LISTING_DATE",$A$1,$A$2)</f>
        <v>#NAME?</v>
      </c>
    </row>
    <row r="7" spans="1:15" s="3" customFormat="1" ht="13.2">
      <c r="A7" s="7" t="s">
        <v>24</v>
      </c>
      <c r="B7" s="7" t="s">
        <v>25</v>
      </c>
      <c r="C7" s="8">
        <v>8548826234.9284639</v>
      </c>
      <c r="D7" s="8">
        <v>2.8850251573870462</v>
      </c>
      <c r="E7" s="8">
        <v>0.46214339995829956</v>
      </c>
      <c r="F7" s="8">
        <v>1.5981259346008301</v>
      </c>
      <c r="G7" s="8">
        <v>29.114622876981077</v>
      </c>
      <c r="H7" s="8">
        <v>1701534135.9038506</v>
      </c>
      <c r="I7" s="8">
        <v>-396066984.11538565</v>
      </c>
      <c r="J7" s="8">
        <v>27.260294915073313</v>
      </c>
      <c r="K7" s="8">
        <v>2656477316.4887824</v>
      </c>
      <c r="L7" s="8">
        <v>1904775639.2942712</v>
      </c>
      <c r="M7" s="8">
        <v>2.2192449999999999</v>
      </c>
      <c r="N7" s="8">
        <v>2.0504189999999998</v>
      </c>
      <c r="O7" s="7" t="e">
        <f ca="1">_xll.BDP($A7,"LISTING_DATE",$A$1,$A$2)</f>
        <v>#NAME?</v>
      </c>
    </row>
    <row r="8" spans="1:15" s="3" customFormat="1" ht="13.2">
      <c r="A8" s="7" t="s">
        <v>26</v>
      </c>
      <c r="B8" s="7" t="s">
        <v>27</v>
      </c>
      <c r="C8" s="8">
        <v>1163336357.7837479</v>
      </c>
      <c r="D8" s="8">
        <v>2.7213791117973747</v>
      </c>
      <c r="E8" s="8">
        <v>0.92617803715680003</v>
      </c>
      <c r="F8" s="8">
        <v>2.5457489490509033</v>
      </c>
      <c r="G8" s="8">
        <v>15.013788288211094</v>
      </c>
      <c r="H8" s="8">
        <v>408929426.80199927</v>
      </c>
      <c r="I8" s="8">
        <v>-186953399.42666516</v>
      </c>
      <c r="J8" s="8">
        <v>28.614446020566298</v>
      </c>
      <c r="K8" s="8">
        <v>315455312.21719456</v>
      </c>
      <c r="L8" s="8">
        <v>242031963.80090496</v>
      </c>
      <c r="M8" s="8">
        <v>3.3191273999999997</v>
      </c>
      <c r="N8" s="8">
        <v>3.2880432000000002</v>
      </c>
      <c r="O8" s="7" t="e">
        <f ca="1">_xll.BDP($A8,"LISTING_DATE",$A$1,$A$2)</f>
        <v>#NAME?</v>
      </c>
    </row>
    <row r="9" spans="1:15" s="3" customFormat="1" ht="13.2">
      <c r="A9" s="7" t="s">
        <v>28</v>
      </c>
      <c r="B9" s="7" t="s">
        <v>29</v>
      </c>
      <c r="C9" s="8">
        <v>1524373124.9710391</v>
      </c>
      <c r="D9" s="8">
        <v>2.6978740946904112</v>
      </c>
      <c r="E9" s="8">
        <v>-0.16612960973863231</v>
      </c>
      <c r="F9" s="8">
        <v>12.623485565185547</v>
      </c>
      <c r="G9" s="8">
        <v>25.375478301502309</v>
      </c>
      <c r="H9" s="8">
        <v>88975541.363424107</v>
      </c>
      <c r="I9" s="8">
        <v>-142146969.01789883</v>
      </c>
      <c r="J9" s="8">
        <v>32.024267539826454</v>
      </c>
      <c r="K9" s="8">
        <v>225148122.33739862</v>
      </c>
      <c r="L9" s="8">
        <v>168393572.75638524</v>
      </c>
      <c r="M9" s="8">
        <v>9.3501261000000007</v>
      </c>
      <c r="N9" s="8">
        <v>8.0027600000000003</v>
      </c>
      <c r="O9" s="7" t="e">
        <f ca="1">_xll.BDP($A9,"LISTING_DATE",$A$1,$A$2)</f>
        <v>#NAME?</v>
      </c>
    </row>
    <row r="10" spans="1:15" s="3" customFormat="1" ht="13.2">
      <c r="A10" s="7" t="s">
        <v>30</v>
      </c>
      <c r="B10" s="7" t="s">
        <v>31</v>
      </c>
      <c r="C10" s="8">
        <v>1092308265.989424</v>
      </c>
      <c r="D10" s="8">
        <v>2.5279883373604783</v>
      </c>
      <c r="E10" s="8">
        <v>-9.1980234044047773</v>
      </c>
      <c r="F10" s="8">
        <v>2.5009856224060059</v>
      </c>
      <c r="G10" s="8">
        <v>50.747266408631432</v>
      </c>
      <c r="H10" s="8">
        <v>210205801.60800746</v>
      </c>
      <c r="I10" s="8">
        <v>-84712076.58363764</v>
      </c>
      <c r="J10" s="8">
        <v>30.95858875743243</v>
      </c>
      <c r="K10" s="8">
        <v>125167736.70456953</v>
      </c>
      <c r="L10" s="8">
        <v>104542831.55590084</v>
      </c>
      <c r="M10" s="8">
        <v>1.4580401999999999</v>
      </c>
      <c r="N10" s="8">
        <v>1.3388604</v>
      </c>
      <c r="O10" s="7" t="e">
        <f ca="1">_xll.BDP($A10,"LISTING_DATE",$A$1,$A$2)</f>
        <v>#NAME?</v>
      </c>
    </row>
    <row r="11" spans="1:15" s="3" customFormat="1" ht="13.2">
      <c r="A11" s="7" t="s">
        <v>32</v>
      </c>
      <c r="B11" s="7" t="s">
        <v>33</v>
      </c>
      <c r="C11" s="8">
        <v>3897131343.837224</v>
      </c>
      <c r="D11" s="8">
        <v>2.4945824992029815</v>
      </c>
      <c r="E11" s="8">
        <v>0.62024187668423325</v>
      </c>
      <c r="F11" s="8">
        <v>3.5897281169891357</v>
      </c>
      <c r="G11" s="8">
        <v>9.1788935463417367</v>
      </c>
      <c r="H11" s="8">
        <v>359842681.43977052</v>
      </c>
      <c r="I11" s="8">
        <v>-407946178.4471041</v>
      </c>
      <c r="J11" s="8">
        <v>25.584919063455271</v>
      </c>
      <c r="K11" s="8">
        <v>980522947.07087839</v>
      </c>
      <c r="L11" s="8">
        <v>703968630.9094764</v>
      </c>
      <c r="M11" s="8">
        <v>7.7102183999999996</v>
      </c>
      <c r="N11" s="8">
        <v>6.3753948000000005</v>
      </c>
      <c r="O11" s="7" t="e">
        <f ca="1">_xll.BDP($A11,"LISTING_DATE",$A$1,$A$2)</f>
        <v>#NAME?</v>
      </c>
    </row>
    <row r="12" spans="1:15" s="3" customFormat="1" ht="13.2">
      <c r="A12" s="7" t="s">
        <v>34</v>
      </c>
      <c r="B12" s="7" t="s">
        <v>35</v>
      </c>
      <c r="C12" s="8">
        <v>1417458872.523818</v>
      </c>
      <c r="D12" s="8">
        <v>2.4538424102560508</v>
      </c>
      <c r="E12" s="8">
        <v>-0.55219049572461321</v>
      </c>
      <c r="F12" s="8">
        <v>0.83095031976699829</v>
      </c>
      <c r="G12" s="8">
        <v>6.8448277264582913</v>
      </c>
      <c r="H12" s="8">
        <v>83922448.854711384</v>
      </c>
      <c r="I12" s="8">
        <v>-88367343.478845924</v>
      </c>
      <c r="J12" s="8">
        <v>34.446934691939127</v>
      </c>
      <c r="K12" s="8">
        <v>431949671.40369606</v>
      </c>
      <c r="L12" s="8">
        <v>338004839.63376963</v>
      </c>
      <c r="M12" s="8">
        <v>0.50613239999999993</v>
      </c>
      <c r="N12" s="8">
        <v>0.48830000000000001</v>
      </c>
      <c r="O12" s="7" t="e">
        <f ca="1">_xll.BDP($A12,"LISTING_DATE",$A$1,$A$2)</f>
        <v>#NAME?</v>
      </c>
    </row>
    <row r="13" spans="1:15" s="3" customFormat="1" ht="13.2">
      <c r="A13" s="7" t="s">
        <v>36</v>
      </c>
      <c r="B13" s="7" t="s">
        <v>37</v>
      </c>
      <c r="C13" s="8">
        <v>5345681588.9364777</v>
      </c>
      <c r="D13" s="8">
        <v>2.4236462130783254</v>
      </c>
      <c r="E13" s="8">
        <v>1.2146285275484738</v>
      </c>
      <c r="F13" s="8">
        <v>1.5191112756729126</v>
      </c>
      <c r="G13" s="8">
        <v>15.699417717599285</v>
      </c>
      <c r="H13" s="8">
        <v>90806482.885057524</v>
      </c>
      <c r="I13" s="8">
        <v>0</v>
      </c>
      <c r="J13" s="8">
        <v>29.35087139086674</v>
      </c>
      <c r="K13" s="8">
        <v>523716021.45249307</v>
      </c>
      <c r="L13" s="8">
        <v>403779940.51382941</v>
      </c>
      <c r="M13" s="8">
        <v>1.5233796900000001</v>
      </c>
      <c r="N13" s="8">
        <v>1.46641625</v>
      </c>
      <c r="O13" s="7" t="e">
        <f ca="1">_xll.BDP($A13,"LISTING_DATE",$A$1,$A$2)</f>
        <v>#NAME?</v>
      </c>
    </row>
    <row r="14" spans="1:15" s="3" customFormat="1" ht="13.2">
      <c r="A14" s="7" t="s">
        <v>38</v>
      </c>
      <c r="B14" s="7" t="s">
        <v>39</v>
      </c>
      <c r="C14" s="8">
        <v>2230252809.1883831</v>
      </c>
      <c r="D14" s="8">
        <v>2.3607946205029564</v>
      </c>
      <c r="E14" s="8">
        <v>1.6520994512381277</v>
      </c>
      <c r="F14" s="8">
        <v>2.5533158779144287</v>
      </c>
      <c r="G14" s="8">
        <v>14.09794216904432</v>
      </c>
      <c r="H14" s="8">
        <v>-281690594.60389024</v>
      </c>
      <c r="I14" s="8">
        <v>-241564623.39412919</v>
      </c>
      <c r="J14" s="8">
        <v>20.070237956106766</v>
      </c>
      <c r="K14" s="8">
        <v>828657543.91882384</v>
      </c>
      <c r="L14" s="8">
        <v>573183510.69511199</v>
      </c>
      <c r="M14" s="8">
        <v>2.3136311999999997</v>
      </c>
      <c r="N14" s="8">
        <v>1.9698017999999999</v>
      </c>
      <c r="O14" s="7" t="e">
        <f ca="1">_xll.BDP($A14,"LISTING_DATE",$A$1,$A$2)</f>
        <v>#NAME?</v>
      </c>
    </row>
    <row r="15" spans="1:15" s="3" customFormat="1" ht="13.2">
      <c r="A15" s="7" t="s">
        <v>40</v>
      </c>
      <c r="B15" s="7" t="s">
        <v>41</v>
      </c>
      <c r="C15" s="8">
        <v>12758297946.945379</v>
      </c>
      <c r="D15" s="8">
        <v>2.3528897288446404</v>
      </c>
      <c r="E15" s="8">
        <v>-0.73414280653161135</v>
      </c>
      <c r="F15" s="8">
        <v>16.068244934082031</v>
      </c>
      <c r="G15" s="8">
        <v>21.620005486070614</v>
      </c>
      <c r="H15" s="8">
        <v>1213210226.9263639</v>
      </c>
      <c r="I15" s="8">
        <v>-1168698309.7954547</v>
      </c>
      <c r="J15" s="8">
        <v>27.056650899811117</v>
      </c>
      <c r="K15" s="8">
        <v>2713970678.7330317</v>
      </c>
      <c r="L15" s="8">
        <v>2102191782.8054299</v>
      </c>
      <c r="M15" s="8">
        <v>6.3382164000000003</v>
      </c>
      <c r="N15" s="8">
        <v>4.606725</v>
      </c>
      <c r="O15" s="7" t="e">
        <f ca="1">_xll.BDP($A15,"LISTING_DATE",$A$1,$A$2)</f>
        <v>#NAME?</v>
      </c>
    </row>
    <row r="16" spans="1:15" s="3" customFormat="1" ht="13.2">
      <c r="A16" s="7" t="s">
        <v>42</v>
      </c>
      <c r="B16" s="7" t="s">
        <v>43</v>
      </c>
      <c r="C16" s="8">
        <v>1243824051.9078259</v>
      </c>
      <c r="D16" s="8">
        <v>2.3365290150255418</v>
      </c>
      <c r="E16" s="8">
        <v>-1.7722599359120386</v>
      </c>
      <c r="F16" s="8">
        <v>2.6168832778930664</v>
      </c>
      <c r="G16" s="8">
        <v>6.5812243420543926</v>
      </c>
      <c r="H16" s="8">
        <v>156279798.19999999</v>
      </c>
      <c r="I16" s="8">
        <v>-86931214.490272358</v>
      </c>
      <c r="J16" s="8">
        <v>22.819311476950794</v>
      </c>
      <c r="K16" s="8">
        <v>235842257.21441597</v>
      </c>
      <c r="L16" s="8">
        <v>188984904.02194816</v>
      </c>
      <c r="M16" s="8">
        <v>2.21428037</v>
      </c>
      <c r="N16" s="8">
        <v>2.026945</v>
      </c>
      <c r="O16" s="7" t="e">
        <f ca="1">_xll.BDP($A16,"LISTING_DATE",$A$1,$A$2)</f>
        <v>#NAME?</v>
      </c>
    </row>
    <row r="17" spans="1:15" s="3" customFormat="1" ht="13.2">
      <c r="A17" s="7" t="s">
        <v>44</v>
      </c>
      <c r="B17" s="7" t="s">
        <v>45</v>
      </c>
      <c r="C17" s="8">
        <v>1453845528.498508</v>
      </c>
      <c r="D17" s="8">
        <v>2.237215886047363</v>
      </c>
      <c r="E17" s="8">
        <v>-3.5884305649805115</v>
      </c>
      <c r="F17" s="8">
        <v>2.2169349193572998</v>
      </c>
      <c r="G17" s="8">
        <v>25.745192250105788</v>
      </c>
      <c r="H17" s="8">
        <v>275662770.39056462</v>
      </c>
      <c r="I17" s="8">
        <v>-37955681.137098901</v>
      </c>
      <c r="J17" s="8">
        <v>21.975154943404192</v>
      </c>
      <c r="K17" s="8">
        <v>297917104.98632443</v>
      </c>
      <c r="L17" s="8">
        <v>218844236.48222178</v>
      </c>
      <c r="M17" s="8">
        <v>1.7635073999999999</v>
      </c>
      <c r="N17" s="8">
        <v>1.429584</v>
      </c>
      <c r="O17" s="7" t="e">
        <f ca="1">_xll.BDP($A17,"LISTING_DATE",$A$1,$A$2)</f>
        <v>#NAME?</v>
      </c>
    </row>
    <row r="18" spans="1:15" s="3" customFormat="1" ht="13.2">
      <c r="A18" s="7" t="s">
        <v>46</v>
      </c>
      <c r="B18" s="7" t="s">
        <v>47</v>
      </c>
      <c r="C18" s="8">
        <v>5696459833.1700706</v>
      </c>
      <c r="D18" s="8">
        <v>2.1817755433629635</v>
      </c>
      <c r="E18" s="8">
        <v>-1.2464477729437339E-2</v>
      </c>
      <c r="F18" s="8">
        <v>13.649338722229004</v>
      </c>
      <c r="G18" s="8">
        <v>14.275635349920179</v>
      </c>
      <c r="H18" s="8">
        <v>241644641.86848241</v>
      </c>
      <c r="I18" s="8">
        <v>-176873315.49221787</v>
      </c>
      <c r="J18" s="8">
        <v>18.879640771669795</v>
      </c>
      <c r="K18" s="8">
        <v>428876925.23912472</v>
      </c>
      <c r="L18" s="8">
        <v>322823930.28345841</v>
      </c>
      <c r="M18" s="8">
        <v>29.002241000000001</v>
      </c>
      <c r="N18" s="8">
        <v>25.075295000000001</v>
      </c>
      <c r="O18" s="7" t="e">
        <f ca="1">_xll.BDP($A18,"LISTING_DATE",$A$1,$A$2)</f>
        <v>#NAME?</v>
      </c>
    </row>
    <row r="19" spans="1:15" s="3" customFormat="1" ht="13.2">
      <c r="A19" s="7" t="s">
        <v>48</v>
      </c>
      <c r="B19" s="7" t="s">
        <v>49</v>
      </c>
      <c r="C19" s="8">
        <v>1610247414.9907379</v>
      </c>
      <c r="D19" s="8">
        <v>2.1788469101689039</v>
      </c>
      <c r="E19" s="8">
        <v>1.4205167994327343</v>
      </c>
      <c r="F19" s="8">
        <v>2.566303014755249</v>
      </c>
      <c r="G19" s="8">
        <v>11.842987259564808</v>
      </c>
      <c r="H19" s="8">
        <v>-100402183.50188315</v>
      </c>
      <c r="I19" s="8">
        <v>-114507808.07557216</v>
      </c>
      <c r="J19" s="8">
        <v>30.516790775180535</v>
      </c>
      <c r="K19" s="8">
        <v>543352462.54602683</v>
      </c>
      <c r="L19" s="8">
        <v>418412165.16288608</v>
      </c>
      <c r="M19" s="8">
        <v>3.1154826</v>
      </c>
      <c r="N19" s="8">
        <v>2.9636375999999998</v>
      </c>
      <c r="O19" s="7" t="e">
        <f ca="1">_xll.BDP($A19,"LISTING_DATE",$A$1,$A$2)</f>
        <v>#NAME?</v>
      </c>
    </row>
    <row r="20" spans="1:15" s="3" customFormat="1" ht="13.2">
      <c r="A20" s="7" t="s">
        <v>50</v>
      </c>
      <c r="B20" s="7" t="s">
        <v>51</v>
      </c>
      <c r="C20" s="8">
        <v>1617790650.4572771</v>
      </c>
      <c r="D20" s="8">
        <v>2.1698333825861909</v>
      </c>
      <c r="E20" s="8">
        <v>-4.1851165585676835</v>
      </c>
      <c r="F20" s="8">
        <v>6.2484197616577148</v>
      </c>
      <c r="G20" s="8">
        <v>14.117904745717391</v>
      </c>
      <c r="H20" s="8">
        <v>202187868.91899359</v>
      </c>
      <c r="I20" s="8">
        <v>-82124467.353994057</v>
      </c>
      <c r="J20" s="8">
        <v>19.870014827951213</v>
      </c>
      <c r="K20" s="8">
        <v>239427738.83161515</v>
      </c>
      <c r="L20" s="8">
        <v>156375622.41391402</v>
      </c>
      <c r="M20" s="8">
        <v>18.405812999999998</v>
      </c>
      <c r="N20" s="8">
        <v>17.851144714285716</v>
      </c>
      <c r="O20" s="7" t="e">
        <f ca="1">_xll.BDP($A20,"LISTING_DATE",$A$1,$A$2)</f>
        <v>#NAME?</v>
      </c>
    </row>
    <row r="21" spans="1:15" s="3" customFormat="1" ht="13.2">
      <c r="A21" s="7" t="s">
        <v>52</v>
      </c>
      <c r="B21" s="7" t="s">
        <v>53</v>
      </c>
      <c r="C21" s="8">
        <v>3184484574.511827</v>
      </c>
      <c r="D21" s="8">
        <v>2.1683442602042931</v>
      </c>
      <c r="E21" s="8">
        <v>-2.6818423816708698E-2</v>
      </c>
      <c r="F21" s="8">
        <v>3.0881569385528564</v>
      </c>
      <c r="G21" s="8">
        <v>7.1614921836510081</v>
      </c>
      <c r="H21" s="8">
        <v>273139797.82248259</v>
      </c>
      <c r="I21" s="8">
        <v>-228608362.17582437</v>
      </c>
      <c r="J21" s="8">
        <v>26.680747723397442</v>
      </c>
      <c r="K21" s="8">
        <v>693400216.80064201</v>
      </c>
      <c r="L21" s="8">
        <v>546268637.95700598</v>
      </c>
      <c r="M21" s="8">
        <v>6.0174209999999988</v>
      </c>
      <c r="N21" s="8">
        <v>5.3361972</v>
      </c>
      <c r="O21" s="7" t="e">
        <f ca="1">_xll.BDP($A21,"LISTING_DATE",$A$1,$A$2)</f>
        <v>#NAME?</v>
      </c>
    </row>
    <row r="22" spans="1:15" s="3" customFormat="1" ht="13.2">
      <c r="A22" s="7" t="s">
        <v>54</v>
      </c>
      <c r="B22" s="7" t="s">
        <v>55</v>
      </c>
      <c r="C22" s="8">
        <v>1107885592.3264</v>
      </c>
      <c r="D22" s="8">
        <v>2.123051370380046</v>
      </c>
      <c r="E22" s="8">
        <v>-1.3178754493261355</v>
      </c>
      <c r="F22" s="8">
        <v>3.5980865955352783</v>
      </c>
      <c r="G22" s="8">
        <v>8.4040973956189813</v>
      </c>
      <c r="H22" s="8">
        <v>20698132.085203253</v>
      </c>
      <c r="I22" s="8">
        <v>-107664841.54074158</v>
      </c>
      <c r="J22" s="8">
        <v>28.009507044464655</v>
      </c>
      <c r="K22" s="8">
        <v>259027299.86431479</v>
      </c>
      <c r="L22" s="8">
        <v>178824622.34283128</v>
      </c>
      <c r="M22" s="8">
        <v>3.6090383999999998</v>
      </c>
      <c r="N22" s="8">
        <v>2.9375202000000002</v>
      </c>
      <c r="O22" s="7" t="e">
        <f ca="1">_xll.BDP($A22,"LISTING_DATE",$A$1,$A$2)</f>
        <v>#NAME?</v>
      </c>
    </row>
    <row r="23" spans="1:15" s="3" customFormat="1" ht="13.2">
      <c r="A23" s="7" t="s">
        <v>56</v>
      </c>
      <c r="B23" s="7" t="s">
        <v>57</v>
      </c>
      <c r="C23" s="8">
        <v>1483579614.4740751</v>
      </c>
      <c r="D23" s="8">
        <v>2.072571073416392</v>
      </c>
      <c r="E23" s="8">
        <v>-0.83775481829595455</v>
      </c>
      <c r="F23" s="8">
        <v>3.6502838134765625</v>
      </c>
      <c r="G23" s="8">
        <v>29.450914239140722</v>
      </c>
      <c r="H23" s="8">
        <v>85238852.816019475</v>
      </c>
      <c r="I23" s="8">
        <v>-76267723.973975718</v>
      </c>
      <c r="J23" s="8">
        <v>32.708494928628632</v>
      </c>
      <c r="K23" s="8">
        <v>246130866.96121749</v>
      </c>
      <c r="L23" s="8">
        <v>170497220.84297639</v>
      </c>
      <c r="M23" s="8">
        <v>3.5581271999999999</v>
      </c>
      <c r="N23" s="8">
        <v>2.9361455999999997</v>
      </c>
      <c r="O23" s="7" t="e">
        <f ca="1">_xll.BDP($A23,"LISTING_DATE",$A$1,$A$2)</f>
        <v>#NAME?</v>
      </c>
    </row>
    <row r="24" spans="1:15" s="3" customFormat="1" ht="13.2">
      <c r="A24" s="7" t="s">
        <v>58</v>
      </c>
      <c r="B24" s="7" t="s">
        <v>59</v>
      </c>
      <c r="C24" s="8">
        <v>1083909934.6908741</v>
      </c>
      <c r="D24" s="8">
        <v>1.9348748066710171</v>
      </c>
      <c r="E24" s="8">
        <v>3.4037544183998597E-2</v>
      </c>
      <c r="F24" s="8">
        <v>3.4520189762115479</v>
      </c>
      <c r="G24" s="8">
        <v>5.8551681556421764</v>
      </c>
      <c r="H24" s="8">
        <v>-21842480.619200006</v>
      </c>
      <c r="I24" s="8">
        <v>-53210937.45160003</v>
      </c>
      <c r="J24" s="8">
        <v>30.332405754450203</v>
      </c>
      <c r="K24" s="8">
        <v>166041389.32591069</v>
      </c>
      <c r="L24" s="8">
        <v>136028076.96962363</v>
      </c>
      <c r="M24" s="8">
        <v>8.7991200000000003</v>
      </c>
      <c r="N24" s="8">
        <v>6.2776000000000005</v>
      </c>
      <c r="O24" s="7" t="e">
        <f ca="1">_xll.BDP($A24,"LISTING_DATE",$A$1,$A$2)</f>
        <v>#NAME?</v>
      </c>
    </row>
    <row r="25" spans="1:15" s="3" customFormat="1" ht="13.2">
      <c r="A25" s="7" t="s">
        <v>60</v>
      </c>
      <c r="B25" s="7" t="s">
        <v>61</v>
      </c>
      <c r="C25" s="8">
        <v>2699503540.804862</v>
      </c>
      <c r="D25" s="8">
        <v>1.7260157919028265</v>
      </c>
      <c r="E25" s="8">
        <v>1.1874230343059509</v>
      </c>
      <c r="F25" s="8">
        <v>2.7678134441375732</v>
      </c>
      <c r="G25" s="8">
        <v>12.223445106680186</v>
      </c>
      <c r="H25" s="8">
        <v>535058000</v>
      </c>
      <c r="I25" s="8">
        <v>-94754000</v>
      </c>
      <c r="J25" s="8">
        <v>21.942738553402194</v>
      </c>
      <c r="K25" s="8">
        <v>580363008</v>
      </c>
      <c r="L25" s="8">
        <v>535283008</v>
      </c>
      <c r="M25" s="8">
        <v>17.224068733520507</v>
      </c>
      <c r="N25" s="8">
        <v>16.7824688</v>
      </c>
      <c r="O25" s="7" t="e">
        <f ca="1">_xll.BDP($A25,"LISTING_DATE",$A$1,$A$2)</f>
        <v>#NAME?</v>
      </c>
    </row>
    <row r="26" spans="1:15" s="3" customFormat="1" ht="13.2">
      <c r="A26" s="7" t="s">
        <v>62</v>
      </c>
      <c r="B26" s="7" t="s">
        <v>63</v>
      </c>
      <c r="C26" s="8">
        <v>4167770758.3395262</v>
      </c>
      <c r="D26" s="8">
        <v>1.671432011717457</v>
      </c>
      <c r="E26" s="8">
        <v>-0.50498640072529466</v>
      </c>
      <c r="F26" s="8">
        <v>23.014682769775391</v>
      </c>
      <c r="G26" s="8">
        <v>9.7309332149995154</v>
      </c>
      <c r="H26" s="8">
        <v>142795285.64202332</v>
      </c>
      <c r="I26" s="8">
        <v>-53592596.848249018</v>
      </c>
      <c r="J26" s="8">
        <v>16.499729272855603</v>
      </c>
      <c r="K26" s="8">
        <v>269969510.80247259</v>
      </c>
      <c r="L26" s="8">
        <v>198155808.82303876</v>
      </c>
      <c r="M26" s="8">
        <v>8.0049086500000008</v>
      </c>
      <c r="N26" s="8">
        <v>7.6292899999999992</v>
      </c>
      <c r="O26" s="7" t="e">
        <f ca="1">_xll.BDP($A26,"LISTING_DATE",$A$1,$A$2)</f>
        <v>#NAME?</v>
      </c>
    </row>
    <row r="27" spans="1:15" s="3" customFormat="1" ht="13.2">
      <c r="A27" s="7" t="s">
        <v>64</v>
      </c>
      <c r="B27" s="7" t="s">
        <v>65</v>
      </c>
      <c r="C27" s="8">
        <v>1046867764.652517</v>
      </c>
      <c r="D27" s="8">
        <v>1.6176852718637926</v>
      </c>
      <c r="E27" s="8">
        <v>-1.8300673853798402</v>
      </c>
      <c r="F27" s="8">
        <v>6.0092077255249023</v>
      </c>
      <c r="G27" s="8">
        <v>24.276573675748981</v>
      </c>
      <c r="H27" s="8">
        <v>93731504.379637077</v>
      </c>
      <c r="I27" s="8">
        <v>-45334446.403144956</v>
      </c>
      <c r="J27" s="8">
        <v>22.632234679114585</v>
      </c>
      <c r="K27" s="8">
        <v>167048285.8435097</v>
      </c>
      <c r="L27" s="8">
        <v>104397852.87258852</v>
      </c>
      <c r="M27" s="8">
        <v>4.3189667999999992</v>
      </c>
      <c r="N27" s="8">
        <v>3.8449525714285713</v>
      </c>
      <c r="O27" s="7" t="e">
        <f ca="1">_xll.BDP($A27,"LISTING_DATE",$A$1,$A$2)</f>
        <v>#NAME?</v>
      </c>
    </row>
    <row r="28" spans="1:15" s="3" customFormat="1" ht="13.2">
      <c r="A28" s="7" t="s">
        <v>66</v>
      </c>
      <c r="B28" s="7" t="s">
        <v>67</v>
      </c>
      <c r="C28" s="8">
        <v>5654225318.0326033</v>
      </c>
      <c r="D28" s="8">
        <v>1.5289464337011813</v>
      </c>
      <c r="E28" s="8">
        <v>1.6876606900467541</v>
      </c>
      <c r="F28" s="8">
        <v>5.7449955940246582</v>
      </c>
      <c r="G28" s="8">
        <v>24.020567760816292</v>
      </c>
      <c r="H28" s="8">
        <v>297831871.80000001</v>
      </c>
      <c r="I28" s="8">
        <v>-95623021.732818544</v>
      </c>
      <c r="J28" s="8">
        <v>33.07145017140369</v>
      </c>
      <c r="K28" s="8">
        <v>384031475.21319467</v>
      </c>
      <c r="L28" s="8">
        <v>248585883.98463127</v>
      </c>
      <c r="M28" s="8">
        <v>4.5411079002380372</v>
      </c>
      <c r="N28" s="8">
        <v>3.9771179999999999</v>
      </c>
      <c r="O28" s="7" t="e">
        <f ca="1">_xll.BDP($A28,"LISTING_DATE",$A$1,$A$2)</f>
        <v>#NAME?</v>
      </c>
    </row>
    <row r="29" spans="1:15" s="3" customFormat="1" ht="13.2">
      <c r="A29" s="7" t="s">
        <v>68</v>
      </c>
      <c r="B29" s="7" t="s">
        <v>69</v>
      </c>
      <c r="C29" s="8">
        <v>7035934818.8557796</v>
      </c>
      <c r="D29" s="8">
        <v>1.5103520236453116</v>
      </c>
      <c r="E29" s="8">
        <v>0.37045146340117724</v>
      </c>
      <c r="F29" s="8">
        <v>37.910308837890625</v>
      </c>
      <c r="G29" s="8">
        <v>5.6110618462193118</v>
      </c>
      <c r="H29" s="8">
        <v>246850103.81400776</v>
      </c>
      <c r="I29" s="8">
        <v>-209110504.70894939</v>
      </c>
      <c r="J29" s="8">
        <v>18.907327733029554</v>
      </c>
      <c r="K29" s="8">
        <v>359580085.10297549</v>
      </c>
      <c r="L29" s="8">
        <v>277969307.94331509</v>
      </c>
      <c r="M29" s="8">
        <v>65.564704500000005</v>
      </c>
      <c r="N29" s="8">
        <v>57.905549999999998</v>
      </c>
      <c r="O29" s="7" t="e">
        <f ca="1">_xll.BDP($A29,"LISTING_DATE",$A$1,$A$2)</f>
        <v>#NAME?</v>
      </c>
    </row>
    <row r="30" spans="1:15" s="3" customFormat="1" ht="13.2">
      <c r="A30" s="7" t="s">
        <v>70</v>
      </c>
      <c r="B30" s="7" t="s">
        <v>71</v>
      </c>
      <c r="C30" s="8">
        <v>6193176761.2418299</v>
      </c>
      <c r="D30" s="8">
        <v>1.5028534317852511</v>
      </c>
      <c r="E30" s="8">
        <v>0.64339357213145576</v>
      </c>
      <c r="F30" s="8">
        <v>5.8967690467834473</v>
      </c>
      <c r="G30" s="8">
        <v>35.797935678583649</v>
      </c>
      <c r="H30" s="8">
        <v>384250297.55000025</v>
      </c>
      <c r="I30" s="8">
        <v>-142305884.41200009</v>
      </c>
      <c r="J30" s="8">
        <v>15.483868873823193</v>
      </c>
      <c r="K30" s="8">
        <v>619482083.25266218</v>
      </c>
      <c r="L30" s="8">
        <v>511839287.51210076</v>
      </c>
      <c r="M30" s="8">
        <v>1.6577</v>
      </c>
      <c r="N30" s="8">
        <v>1.1075480000000002</v>
      </c>
      <c r="O30" s="7" t="e">
        <f ca="1">_xll.BDP($A30,"LISTING_DATE",$A$1,$A$2)</f>
        <v>#NAME?</v>
      </c>
    </row>
    <row r="31" spans="1:15" s="3" customFormat="1" ht="13.2">
      <c r="A31" s="7" t="s">
        <v>72</v>
      </c>
      <c r="B31" s="7" t="s">
        <v>73</v>
      </c>
      <c r="C31" s="8">
        <v>1503669653.035646</v>
      </c>
      <c r="D31" s="8">
        <v>1.4638581074943262</v>
      </c>
      <c r="E31" s="8">
        <v>-0.84668569338475319</v>
      </c>
      <c r="F31" s="8">
        <v>3.7444136142730713</v>
      </c>
      <c r="G31" s="8">
        <v>25.802338059431264</v>
      </c>
      <c r="H31" s="8">
        <v>23398812.173540853</v>
      </c>
      <c r="I31" s="8">
        <v>-51123303.371543892</v>
      </c>
      <c r="J31" s="8">
        <v>27.82028934586625</v>
      </c>
      <c r="K31" s="8">
        <v>259385406.93340832</v>
      </c>
      <c r="L31" s="8">
        <v>177588810.68642306</v>
      </c>
      <c r="M31" s="8">
        <v>9.0664362000000001</v>
      </c>
      <c r="N31" s="8">
        <v>6.2461823999999995</v>
      </c>
      <c r="O31" s="7" t="e">
        <f ca="1">_xll.BDP($A31,"LISTING_DATE",$A$1,$A$2)</f>
        <v>#NAME?</v>
      </c>
    </row>
    <row r="32" spans="1:15" s="3" customFormat="1" ht="13.2">
      <c r="A32" s="7" t="s">
        <v>74</v>
      </c>
      <c r="B32" s="7" t="s">
        <v>75</v>
      </c>
      <c r="C32" s="8">
        <v>1402580868.0555561</v>
      </c>
      <c r="D32" s="8">
        <v>1.3016472406947139</v>
      </c>
      <c r="E32" s="8">
        <v>-2.4155252756940913</v>
      </c>
      <c r="F32" s="8">
        <v>8.5375289916992188</v>
      </c>
      <c r="G32" s="8">
        <v>16.517914777606713</v>
      </c>
      <c r="H32" s="8">
        <v>29484802.40410322</v>
      </c>
      <c r="I32" s="8">
        <v>-16300014.076746415</v>
      </c>
      <c r="J32" s="8">
        <v>21.176130014835266</v>
      </c>
      <c r="K32" s="8">
        <v>56607771.511557549</v>
      </c>
      <c r="L32" s="8">
        <v>42206222.437371418</v>
      </c>
      <c r="M32" s="8">
        <v>1.03576</v>
      </c>
      <c r="N32" s="8">
        <v>0.90800999999999998</v>
      </c>
      <c r="O32" s="7" t="e">
        <f ca="1">_xll.BDP($A32,"LISTING_DATE",$A$1,$A$2)</f>
        <v>#NAME?</v>
      </c>
    </row>
    <row r="33" spans="1:15" s="3" customFormat="1" ht="13.2">
      <c r="A33" s="7" t="s">
        <v>76</v>
      </c>
      <c r="B33" s="7" t="s">
        <v>77</v>
      </c>
      <c r="C33" s="8">
        <v>1704240422.4323061</v>
      </c>
      <c r="D33" s="8">
        <v>1.2575876835659072</v>
      </c>
      <c r="E33" s="8">
        <v>0.91805598778668396</v>
      </c>
      <c r="F33" s="8">
        <v>5.105104923248291</v>
      </c>
      <c r="G33" s="8">
        <v>12.182032411254484</v>
      </c>
      <c r="H33" s="8">
        <v>61154494.926728152</v>
      </c>
      <c r="I33" s="8">
        <v>-42757331.39987544</v>
      </c>
      <c r="J33" s="8">
        <v>32.596944018709365</v>
      </c>
      <c r="K33" s="8">
        <v>344325347.06105739</v>
      </c>
      <c r="L33" s="8">
        <v>211214258.82948646</v>
      </c>
      <c r="M33" s="8">
        <v>8.0977091999999988</v>
      </c>
      <c r="N33" s="8">
        <v>8.0414099999999991</v>
      </c>
      <c r="O33" s="7" t="e">
        <f ca="1">_xll.BDP($A33,"LISTING_DATE",$A$1,$A$2)</f>
        <v>#NAME?</v>
      </c>
    </row>
    <row r="34" spans="1:15" s="3" customFormat="1" ht="13.2">
      <c r="A34" s="7" t="s">
        <v>78</v>
      </c>
      <c r="B34" s="7" t="s">
        <v>79</v>
      </c>
      <c r="C34" s="8">
        <v>22603880619.941662</v>
      </c>
      <c r="D34" s="8">
        <v>1.1871106307071035</v>
      </c>
      <c r="E34" s="8">
        <v>-0.43676170725778046</v>
      </c>
      <c r="F34" s="8">
        <v>5.3050589561462402</v>
      </c>
      <c r="G34" s="8">
        <v>20.633053550446469</v>
      </c>
      <c r="H34" s="8">
        <v>731272758.5836575</v>
      </c>
      <c r="I34" s="8">
        <v>-464942396.49805444</v>
      </c>
      <c r="J34" s="8">
        <v>16.367180287190568</v>
      </c>
      <c r="K34" s="8">
        <v>2478125908.9060225</v>
      </c>
      <c r="L34" s="8">
        <v>1775329235.9422596</v>
      </c>
      <c r="M34" s="8">
        <v>181.21100100000001</v>
      </c>
      <c r="N34" s="8">
        <v>132.62374</v>
      </c>
      <c r="O34" s="7" t="e">
        <f ca="1">_xll.BDP($A34,"LISTING_DATE",$A$1,$A$2)</f>
        <v>#NAME?</v>
      </c>
    </row>
    <row r="35" spans="1:15" s="3" customFormat="1" ht="13.2">
      <c r="A35" s="7" t="s">
        <v>80</v>
      </c>
      <c r="B35" s="7" t="s">
        <v>81</v>
      </c>
      <c r="C35" s="8">
        <v>2494750467.40485</v>
      </c>
      <c r="D35" s="8">
        <v>1.1603297098830605</v>
      </c>
      <c r="E35" s="8">
        <v>-0.85544059858977695</v>
      </c>
      <c r="F35" s="8">
        <v>1.358864426612854</v>
      </c>
      <c r="G35" s="8">
        <v>46.98031941910272</v>
      </c>
      <c r="H35" s="8">
        <v>327172681.09762478</v>
      </c>
      <c r="I35" s="8">
        <v>-65517757.721287072</v>
      </c>
      <c r="J35" s="8">
        <v>31.136022532956165</v>
      </c>
      <c r="K35" s="8">
        <v>285710395.02615488</v>
      </c>
      <c r="L35" s="8">
        <v>206039769.36378047</v>
      </c>
      <c r="M35" s="8">
        <v>84.981960000000001</v>
      </c>
      <c r="N35" s="8">
        <v>73.435969999999998</v>
      </c>
      <c r="O35" s="7" t="e">
        <f ca="1">_xll.BDP($A35,"LISTING_DATE",$A$1,$A$2)</f>
        <v>#NAME?</v>
      </c>
    </row>
    <row r="36" spans="1:15" s="3" customFormat="1" ht="13.2">
      <c r="A36" s="7" t="s">
        <v>82</v>
      </c>
      <c r="B36" s="7" t="s">
        <v>83</v>
      </c>
      <c r="C36" s="8">
        <v>6752800151.5005503</v>
      </c>
      <c r="D36" s="8">
        <v>1.1446400577687597</v>
      </c>
      <c r="E36" s="8">
        <v>0.17560868611537617</v>
      </c>
      <c r="F36" s="8">
        <v>9.2853870391845703</v>
      </c>
      <c r="G36" s="8">
        <v>25.50178452121148</v>
      </c>
      <c r="H36" s="8">
        <v>65103766.105058357</v>
      </c>
      <c r="I36" s="8">
        <v>-58869042.365758747</v>
      </c>
      <c r="J36" s="8">
        <v>27.059987634971673</v>
      </c>
      <c r="K36" s="8">
        <v>245912238.60479131</v>
      </c>
      <c r="L36" s="8">
        <v>165255908.14652815</v>
      </c>
      <c r="M36" s="8">
        <v>21.357210100000003</v>
      </c>
      <c r="N36" s="8">
        <v>20.557252000000002</v>
      </c>
      <c r="O36" s="7" t="e">
        <f ca="1">_xll.BDP($A36,"LISTING_DATE",$A$1,$A$2)</f>
        <v>#NAME?</v>
      </c>
    </row>
    <row r="37" spans="1:15" s="3" customFormat="1" ht="13.2">
      <c r="A37" s="7" t="s">
        <v>84</v>
      </c>
      <c r="B37" s="7" t="s">
        <v>85</v>
      </c>
      <c r="C37" s="8">
        <v>10911093654.97509</v>
      </c>
      <c r="D37" s="8">
        <v>1.1161154360024648</v>
      </c>
      <c r="E37" s="8">
        <v>-0.1384634321817175</v>
      </c>
      <c r="F37" s="8">
        <v>9.1564006805419922</v>
      </c>
      <c r="G37" s="8">
        <v>20.972066091965623</v>
      </c>
      <c r="H37" s="8">
        <v>383321936.25175089</v>
      </c>
      <c r="I37" s="8">
        <v>-165326654.44941631</v>
      </c>
      <c r="J37" s="8">
        <v>22.542808316185138</v>
      </c>
      <c r="K37" s="8">
        <v>779697647.67901993</v>
      </c>
      <c r="L37" s="8">
        <v>603978670.96111202</v>
      </c>
      <c r="M37" s="8">
        <v>79.368387499999997</v>
      </c>
      <c r="N37" s="8">
        <v>56.884259999999998</v>
      </c>
      <c r="O37" s="7" t="e">
        <f ca="1">_xll.BDP($A37,"LISTING_DATE",$A$1,$A$2)</f>
        <v>#NAME?</v>
      </c>
    </row>
    <row r="38" spans="1:15" s="3" customFormat="1" ht="13.2">
      <c r="A38" s="7" t="s">
        <v>86</v>
      </c>
      <c r="B38" s="7" t="s">
        <v>87</v>
      </c>
      <c r="C38" s="8">
        <v>7032547015.2274342</v>
      </c>
      <c r="D38" s="8">
        <v>1.1054758942905278</v>
      </c>
      <c r="E38" s="8">
        <v>-1.6407136401223057</v>
      </c>
      <c r="F38" s="8">
        <v>16.550102233886719</v>
      </c>
      <c r="G38" s="8">
        <v>23.165889573767661</v>
      </c>
      <c r="H38" s="8">
        <v>211790134.5513618</v>
      </c>
      <c r="I38" s="8">
        <v>-124618758.97587547</v>
      </c>
      <c r="J38" s="8">
        <v>24.493907331124959</v>
      </c>
      <c r="K38" s="8">
        <v>341221116.11833608</v>
      </c>
      <c r="L38" s="8">
        <v>264894988.26819617</v>
      </c>
      <c r="M38" s="8">
        <v>50.377305500000006</v>
      </c>
      <c r="N38" s="8">
        <v>40.473999999999997</v>
      </c>
      <c r="O38" s="7" t="e">
        <f ca="1">_xll.BDP($A38,"LISTING_DATE",$A$1,$A$2)</f>
        <v>#NAME?</v>
      </c>
    </row>
    <row r="39" spans="1:15" s="3" customFormat="1" ht="13.2">
      <c r="A39" s="7" t="s">
        <v>88</v>
      </c>
      <c r="B39" s="7" t="s">
        <v>89</v>
      </c>
      <c r="C39" s="8">
        <v>1190598309.1514781</v>
      </c>
      <c r="D39" s="8">
        <v>1.1001638499796977</v>
      </c>
      <c r="E39" s="8">
        <v>1.3182876411135636</v>
      </c>
      <c r="F39" s="8">
        <v>1.9496908187866211</v>
      </c>
      <c r="G39" s="8">
        <v>22.108181519489655</v>
      </c>
      <c r="H39" s="8">
        <v>90303204.492132276</v>
      </c>
      <c r="I39" s="8">
        <v>-26701588.928394165</v>
      </c>
      <c r="J39" s="8">
        <v>30.358095370070952</v>
      </c>
      <c r="K39" s="8">
        <v>312358588.2352941</v>
      </c>
      <c r="L39" s="8">
        <v>238304579.18552035</v>
      </c>
      <c r="M39" s="8">
        <v>2.9556779999999998</v>
      </c>
      <c r="N39" s="8">
        <v>1.752615</v>
      </c>
      <c r="O39" s="7" t="e">
        <f ca="1">_xll.BDP($A39,"LISTING_DATE",$A$1,$A$2)</f>
        <v>#NAME?</v>
      </c>
    </row>
    <row r="40" spans="1:15" s="3" customFormat="1" ht="13.2">
      <c r="A40" s="7" t="s">
        <v>90</v>
      </c>
      <c r="B40" s="7" t="s">
        <v>91</v>
      </c>
      <c r="C40" s="8">
        <v>509680050845.18237</v>
      </c>
      <c r="D40" s="8">
        <v>1.0230871653962792</v>
      </c>
      <c r="E40" s="8">
        <v>-4.4123622788615605E-2</v>
      </c>
      <c r="F40" s="8">
        <v>4.381718635559082</v>
      </c>
      <c r="G40" s="8">
        <v>10.37340380765135</v>
      </c>
      <c r="H40" s="8">
        <v>26815833533.636368</v>
      </c>
      <c r="I40" s="8">
        <v>-5200696047.7272739</v>
      </c>
      <c r="J40" s="8">
        <v>25.087933722446209</v>
      </c>
      <c r="K40" s="8">
        <v>45841347764.705879</v>
      </c>
      <c r="L40" s="8">
        <v>36686792398.190048</v>
      </c>
      <c r="M40" s="8">
        <v>79.259819999999991</v>
      </c>
      <c r="N40" s="8">
        <v>51.374300000000005</v>
      </c>
      <c r="O40" s="7" t="e">
        <f ca="1">_xll.BDP($A40,"LISTING_DATE",$A$1,$A$2)</f>
        <v>#NAME?</v>
      </c>
    </row>
    <row r="41" spans="1:15" s="3" customFormat="1" ht="13.2">
      <c r="A41" s="7" t="s">
        <v>92</v>
      </c>
      <c r="B41" s="7" t="s">
        <v>93</v>
      </c>
      <c r="C41" s="8">
        <v>12285100373.124901</v>
      </c>
      <c r="D41" s="8">
        <v>1.0157136118479468</v>
      </c>
      <c r="E41" s="8">
        <v>-0.28914240427823867</v>
      </c>
      <c r="F41" s="8">
        <v>15.152870178222656</v>
      </c>
      <c r="G41" s="8">
        <v>6.2744135869046369</v>
      </c>
      <c r="H41" s="8">
        <v>317264624.16303498</v>
      </c>
      <c r="I41" s="8">
        <v>-371505537.63540852</v>
      </c>
      <c r="J41" s="8">
        <v>24.331090778874977</v>
      </c>
      <c r="K41" s="8">
        <v>619148629.65525067</v>
      </c>
      <c r="L41" s="8">
        <v>488173213.96080279</v>
      </c>
      <c r="M41" s="8">
        <v>32.968149600000004</v>
      </c>
      <c r="N41" s="8">
        <v>29.252790000000001</v>
      </c>
      <c r="O41" s="7" t="e">
        <f ca="1">_xll.BDP($A41,"LISTING_DATE",$A$1,$A$2)</f>
        <v>#NAME?</v>
      </c>
    </row>
    <row r="42" spans="1:15" s="3" customFormat="1" ht="13.2">
      <c r="A42" s="7" t="s">
        <v>94</v>
      </c>
      <c r="B42" s="7" t="s">
        <v>95</v>
      </c>
      <c r="C42" s="8">
        <v>1440664799.1183441</v>
      </c>
      <c r="D42" s="8">
        <v>0.91064551816516548</v>
      </c>
      <c r="E42" s="8">
        <v>-2.8907933440872267</v>
      </c>
      <c r="F42" s="8">
        <v>4.0547428131103516</v>
      </c>
      <c r="G42" s="8">
        <v>21.781015694820649</v>
      </c>
      <c r="H42" s="8">
        <v>102677736.87548637</v>
      </c>
      <c r="I42" s="8">
        <v>-36137736.497276261</v>
      </c>
      <c r="J42" s="8">
        <v>27.350570700875387</v>
      </c>
      <c r="K42" s="8">
        <v>184310444.97779003</v>
      </c>
      <c r="L42" s="8">
        <v>142990121.55979118</v>
      </c>
      <c r="M42" s="8">
        <v>41.926594799999997</v>
      </c>
      <c r="N42" s="8">
        <v>41.628630000000001</v>
      </c>
      <c r="O42" s="7" t="e">
        <f ca="1">_xll.BDP($A42,"LISTING_DATE",$A$1,$A$2)</f>
        <v>#NAME?</v>
      </c>
    </row>
    <row r="43" spans="1:15" s="3" customFormat="1" ht="13.2">
      <c r="A43" s="7" t="s">
        <v>96</v>
      </c>
      <c r="B43" s="7" t="s">
        <v>97</v>
      </c>
      <c r="C43" s="8">
        <v>7715351103.2809172</v>
      </c>
      <c r="D43" s="8">
        <v>0.90952134208909052</v>
      </c>
      <c r="E43" s="8">
        <v>0.11538711248173993</v>
      </c>
      <c r="F43" s="8">
        <v>5.6610355377197266</v>
      </c>
      <c r="G43" s="8">
        <v>9.4884266164691144</v>
      </c>
      <c r="H43" s="8">
        <v>172079558.26420233</v>
      </c>
      <c r="I43" s="8">
        <v>-87717949.079766527</v>
      </c>
      <c r="J43" s="8">
        <v>19.433960043646302</v>
      </c>
      <c r="K43" s="8">
        <v>266752007.972009</v>
      </c>
      <c r="L43" s="8">
        <v>183148228.56354809</v>
      </c>
      <c r="M43" s="8">
        <v>12.968989800000001</v>
      </c>
      <c r="N43" s="8">
        <v>11.2926</v>
      </c>
      <c r="O43" s="7" t="e">
        <f ca="1">_xll.BDP($A43,"LISTING_DATE",$A$1,$A$2)</f>
        <v>#NAME?</v>
      </c>
    </row>
    <row r="44" spans="1:15" s="3" customFormat="1" ht="13.2">
      <c r="A44" s="7" t="s">
        <v>98</v>
      </c>
      <c r="B44" s="7" t="s">
        <v>99</v>
      </c>
      <c r="C44" s="8">
        <v>2046042899.0779791</v>
      </c>
      <c r="D44" s="8">
        <v>0.88742558926339365</v>
      </c>
      <c r="E44" s="8">
        <v>-0.89562461947196548</v>
      </c>
      <c r="F44" s="8">
        <v>11.392781257629395</v>
      </c>
      <c r="G44" s="8">
        <v>20.624524894419373</v>
      </c>
      <c r="H44" s="8">
        <v>21478916.261718757</v>
      </c>
      <c r="I44" s="8">
        <v>-48574383.859765619</v>
      </c>
      <c r="J44" s="8">
        <v>29.828486797492303</v>
      </c>
      <c r="K44" s="8">
        <v>174261907.842682</v>
      </c>
      <c r="L44" s="8">
        <v>129580312.05533016</v>
      </c>
      <c r="M44" s="8">
        <v>43.388423799999998</v>
      </c>
      <c r="N44" s="8">
        <v>43.063509999999994</v>
      </c>
      <c r="O44" s="7" t="e">
        <f ca="1">_xll.BDP($A44,"LISTING_DATE",$A$1,$A$2)</f>
        <v>#NAME?</v>
      </c>
    </row>
    <row r="45" spans="1:15" s="3" customFormat="1" ht="13.2">
      <c r="A45" s="7" t="s">
        <v>100</v>
      </c>
      <c r="B45" s="7" t="s">
        <v>101</v>
      </c>
      <c r="C45" s="8">
        <v>4122092453.459199</v>
      </c>
      <c r="D45" s="8">
        <v>0.8707048225825369</v>
      </c>
      <c r="E45" s="8">
        <v>1.0402781565091792</v>
      </c>
      <c r="F45" s="8">
        <v>5.5941386222839355</v>
      </c>
      <c r="G45" s="8">
        <v>12.176124885360728</v>
      </c>
      <c r="H45" s="8">
        <v>587008776.99655354</v>
      </c>
      <c r="I45" s="8">
        <v>-156362087.4207435</v>
      </c>
      <c r="J45" s="8">
        <v>21.120404410848785</v>
      </c>
      <c r="K45" s="8">
        <v>1118659503.0722508</v>
      </c>
      <c r="L45" s="8">
        <v>779196234.76234198</v>
      </c>
      <c r="M45" s="8">
        <v>10.050719399999998</v>
      </c>
      <c r="N45" s="8">
        <v>8.6572307999999989</v>
      </c>
      <c r="O45" s="7" t="e">
        <f ca="1">_xll.BDP($A45,"LISTING_DATE",$A$1,$A$2)</f>
        <v>#NAME?</v>
      </c>
    </row>
    <row r="46" spans="1:15" s="3" customFormat="1" ht="13.2">
      <c r="A46" s="7" t="s">
        <v>102</v>
      </c>
      <c r="B46" s="7" t="s">
        <v>103</v>
      </c>
      <c r="C46" s="8">
        <v>4942653483.4128428</v>
      </c>
      <c r="D46" s="8">
        <v>0.86996832826905823</v>
      </c>
      <c r="E46" s="8">
        <v>0.67472634970800771</v>
      </c>
      <c r="F46" s="8">
        <v>16.622001647949219</v>
      </c>
      <c r="G46" s="8">
        <v>13.277187381641875</v>
      </c>
      <c r="H46" s="8">
        <v>204820730.84202331</v>
      </c>
      <c r="I46" s="8">
        <v>-128128896.61050582</v>
      </c>
      <c r="J46" s="8">
        <v>24.566222898668634</v>
      </c>
      <c r="K46" s="8">
        <v>392507161.93989491</v>
      </c>
      <c r="L46" s="8">
        <v>273953047.41581452</v>
      </c>
      <c r="M46" s="8">
        <v>41.600752</v>
      </c>
      <c r="N46" s="8">
        <v>39.401969999999999</v>
      </c>
      <c r="O46" s="7" t="e">
        <f ca="1">_xll.BDP($A46,"LISTING_DATE",$A$1,$A$2)</f>
        <v>#NAME?</v>
      </c>
    </row>
    <row r="47" spans="1:15" s="3" customFormat="1" ht="13.2">
      <c r="A47" s="7" t="s">
        <v>104</v>
      </c>
      <c r="B47" s="7" t="s">
        <v>105</v>
      </c>
      <c r="C47" s="8">
        <v>17027957717.14238</v>
      </c>
      <c r="D47" s="8">
        <v>0.83942928092978275</v>
      </c>
      <c r="E47" s="8">
        <v>-1.3882830677378284</v>
      </c>
      <c r="F47" s="8">
        <v>15.116253852844238</v>
      </c>
      <c r="G47" s="8">
        <v>23.881943603401943</v>
      </c>
      <c r="H47" s="8">
        <v>28779106.201556422</v>
      </c>
      <c r="I47" s="8">
        <v>-198846280.19999999</v>
      </c>
      <c r="J47" s="8">
        <v>24.934758907376505</v>
      </c>
      <c r="K47" s="8">
        <v>925066744.61860764</v>
      </c>
      <c r="L47" s="8">
        <v>668032387.06182802</v>
      </c>
      <c r="M47" s="8">
        <v>4.6092249500000007</v>
      </c>
      <c r="N47" s="8">
        <v>3.6214199999999996</v>
      </c>
      <c r="O47" s="7" t="e">
        <f ca="1">_xll.BDP($A47,"LISTING_DATE",$A$1,$A$2)</f>
        <v>#NAME?</v>
      </c>
    </row>
    <row r="48" spans="1:15" s="3" customFormat="1" ht="13.2">
      <c r="A48" s="7" t="s">
        <v>106</v>
      </c>
      <c r="B48" s="7" t="s">
        <v>107</v>
      </c>
      <c r="C48" s="8">
        <v>5494137804.051754</v>
      </c>
      <c r="D48" s="8">
        <v>0.82375950556831012</v>
      </c>
      <c r="E48" s="8">
        <v>1.0479111805615842</v>
      </c>
      <c r="F48" s="8">
        <v>3.6086928844451904</v>
      </c>
      <c r="G48" s="8">
        <v>26.584540427753801</v>
      </c>
      <c r="H48" s="8">
        <v>70628654.124513611</v>
      </c>
      <c r="I48" s="8">
        <v>-68037753.747081697</v>
      </c>
      <c r="J48" s="8">
        <v>24.903024021602931</v>
      </c>
      <c r="K48" s="8">
        <v>691926807.53406155</v>
      </c>
      <c r="L48" s="8">
        <v>435281348.21928877</v>
      </c>
      <c r="M48" s="8">
        <v>1.3308223400000001</v>
      </c>
      <c r="N48" s="8">
        <v>1.3039000000000001</v>
      </c>
      <c r="O48" s="7" t="e">
        <f ca="1">_xll.BDP($A48,"LISTING_DATE",$A$1,$A$2)</f>
        <v>#NAME?</v>
      </c>
    </row>
    <row r="49" spans="1:15" s="3" customFormat="1" ht="13.2">
      <c r="A49" s="7" t="s">
        <v>108</v>
      </c>
      <c r="B49" s="7" t="s">
        <v>109</v>
      </c>
      <c r="C49" s="8">
        <v>1447885520.067888</v>
      </c>
      <c r="D49" s="8">
        <v>0.81720026158816683</v>
      </c>
      <c r="E49" s="8">
        <v>-8.8131382386629459E-2</v>
      </c>
      <c r="F49" s="8">
        <v>10.591206550598145</v>
      </c>
      <c r="G49" s="8">
        <v>12.405030009910201</v>
      </c>
      <c r="H49" s="8">
        <v>100990693.98132294</v>
      </c>
      <c r="I49" s="8">
        <v>-48272378.128015555</v>
      </c>
      <c r="J49" s="8">
        <v>22.458147682574264</v>
      </c>
      <c r="K49" s="8">
        <v>173113590.65655684</v>
      </c>
      <c r="L49" s="8">
        <v>132605098.2979762</v>
      </c>
      <c r="M49" s="8">
        <v>6.2384389499999999</v>
      </c>
      <c r="N49" s="8">
        <v>5.7772800000000002</v>
      </c>
      <c r="O49" s="7" t="e">
        <f ca="1">_xll.BDP($A49,"LISTING_DATE",$A$1,$A$2)</f>
        <v>#NAME?</v>
      </c>
    </row>
    <row r="50" spans="1:15" s="3" customFormat="1" ht="13.2">
      <c r="A50" s="7" t="s">
        <v>110</v>
      </c>
      <c r="B50" s="7" t="s">
        <v>111</v>
      </c>
      <c r="C50" s="8">
        <v>2848853297.640934</v>
      </c>
      <c r="D50" s="8">
        <v>0.80559354623426171</v>
      </c>
      <c r="E50" s="8">
        <v>-3.6491860937006808</v>
      </c>
      <c r="F50" s="8">
        <v>27.65614128112793</v>
      </c>
      <c r="G50" s="8">
        <v>18.816725772758282</v>
      </c>
      <c r="H50" s="8">
        <v>110358159.36420232</v>
      </c>
      <c r="I50" s="8">
        <v>-4609199.9408560302</v>
      </c>
      <c r="J50" s="8">
        <v>29.77023110578822</v>
      </c>
      <c r="K50" s="8">
        <v>152707843.82560843</v>
      </c>
      <c r="L50" s="8">
        <v>106652075.57058594</v>
      </c>
      <c r="M50" s="8">
        <v>114.033821</v>
      </c>
      <c r="N50" s="8">
        <v>74.611400000000003</v>
      </c>
      <c r="O50" s="7" t="e">
        <f ca="1">_xll.BDP($A50,"LISTING_DATE",$A$1,$A$2)</f>
        <v>#NAME?</v>
      </c>
    </row>
    <row r="51" spans="1:15" s="3" customFormat="1" ht="13.2">
      <c r="A51" s="7" t="s">
        <v>112</v>
      </c>
      <c r="B51" s="7" t="s">
        <v>113</v>
      </c>
      <c r="C51" s="8">
        <v>7830936452.3287783</v>
      </c>
      <c r="D51" s="8">
        <v>0.79919186896771777</v>
      </c>
      <c r="E51" s="8">
        <v>-0.59386716846109466</v>
      </c>
      <c r="F51" s="8">
        <v>13.990151405334473</v>
      </c>
      <c r="G51" s="8">
        <v>35.825934265059246</v>
      </c>
      <c r="H51" s="8">
        <v>111201325.89342411</v>
      </c>
      <c r="I51" s="8">
        <v>-54421448.357120618</v>
      </c>
      <c r="J51" s="8">
        <v>20.455181587744459</v>
      </c>
      <c r="K51" s="8">
        <v>292151907.08438998</v>
      </c>
      <c r="L51" s="8">
        <v>202864564.79941624</v>
      </c>
      <c r="M51" s="8">
        <v>71.345066500000001</v>
      </c>
      <c r="N51" s="8">
        <v>70.002319999999997</v>
      </c>
      <c r="O51" s="7" t="e">
        <f ca="1">_xll.BDP($A51,"LISTING_DATE",$A$1,$A$2)</f>
        <v>#NAME?</v>
      </c>
    </row>
    <row r="52" spans="1:15" s="3" customFormat="1" ht="13.2">
      <c r="A52" s="7" t="s">
        <v>114</v>
      </c>
      <c r="B52" s="7" t="s">
        <v>115</v>
      </c>
      <c r="C52" s="8">
        <v>12206855934.334049</v>
      </c>
      <c r="D52" s="8">
        <v>0.69655203604461879</v>
      </c>
      <c r="E52" s="8">
        <v>1.3902010050251257</v>
      </c>
      <c r="F52" s="8">
        <v>1.4660335779190063</v>
      </c>
      <c r="G52" s="8">
        <v>33.545820584425321</v>
      </c>
      <c r="H52" s="8">
        <v>67907617.198443577</v>
      </c>
      <c r="I52" s="8">
        <v>-92042031.673151746</v>
      </c>
      <c r="J52" s="8">
        <v>28.812180002689836</v>
      </c>
      <c r="K52" s="8">
        <v>2045318489.5000367</v>
      </c>
      <c r="L52" s="8">
        <v>1828212531.980346</v>
      </c>
      <c r="M52" s="8">
        <v>9.0036391500000015</v>
      </c>
      <c r="N52" s="8">
        <v>7.8186800000000005</v>
      </c>
      <c r="O52" s="7" t="e">
        <f ca="1">_xll.BDP($A52,"LISTING_DATE",$A$1,$A$2)</f>
        <v>#NAME?</v>
      </c>
    </row>
    <row r="53" spans="1:15" s="3" customFormat="1" ht="13.2">
      <c r="A53" s="7" t="s">
        <v>116</v>
      </c>
      <c r="B53" s="7" t="s">
        <v>117</v>
      </c>
      <c r="C53" s="8">
        <v>3824869204.0476222</v>
      </c>
      <c r="D53" s="8">
        <v>0.65544170879390307</v>
      </c>
      <c r="E53" s="8">
        <v>1.5013237532153951</v>
      </c>
      <c r="F53" s="8">
        <v>7.343895435333252</v>
      </c>
      <c r="G53" s="8">
        <v>21.887772278511818</v>
      </c>
      <c r="H53" s="8">
        <v>-4697811.0998832695</v>
      </c>
      <c r="I53" s="8">
        <v>-49936114.749377429</v>
      </c>
      <c r="J53" s="8">
        <v>28.848317565613822</v>
      </c>
      <c r="K53" s="8">
        <v>227707992.81855872</v>
      </c>
      <c r="L53" s="8">
        <v>142893187.83550867</v>
      </c>
      <c r="M53" s="8">
        <v>15.861402600000002</v>
      </c>
      <c r="N53" s="8">
        <v>15.856249999999999</v>
      </c>
      <c r="O53" s="7" t="e">
        <f ca="1">_xll.BDP($A53,"LISTING_DATE",$A$1,$A$2)</f>
        <v>#NAME?</v>
      </c>
    </row>
    <row r="54" spans="1:15" s="3" customFormat="1" ht="13.2">
      <c r="A54" s="7" t="s">
        <v>118</v>
      </c>
      <c r="B54" s="7" t="s">
        <v>119</v>
      </c>
      <c r="C54" s="8">
        <v>1743345973.245858</v>
      </c>
      <c r="D54" s="8">
        <v>0.59131352254948888</v>
      </c>
      <c r="E54" s="8">
        <v>0.97066014669926648</v>
      </c>
      <c r="F54" s="8">
        <v>7.600043773651123</v>
      </c>
      <c r="G54" s="8">
        <v>27.334188594259178</v>
      </c>
      <c r="H54" s="8">
        <v>8061367.6583657535</v>
      </c>
      <c r="I54" s="8">
        <v>-730331043.19533062</v>
      </c>
      <c r="J54" s="8">
        <v>22.639906606671094</v>
      </c>
      <c r="K54" s="8">
        <v>118966543.43640687</v>
      </c>
      <c r="L54" s="8">
        <v>54735477.4795947</v>
      </c>
      <c r="M54" s="8">
        <v>7.4196191000000002</v>
      </c>
      <c r="N54" s="8">
        <v>5.8474899999999996</v>
      </c>
      <c r="O54" s="7" t="e">
        <f ca="1">_xll.BDP($A54,"LISTING_DATE",$A$1,$A$2)</f>
        <v>#NAME?</v>
      </c>
    </row>
    <row r="55" spans="1:15" s="3" customFormat="1" ht="13.2">
      <c r="A55" s="7" t="s">
        <v>120</v>
      </c>
      <c r="B55" s="7" t="s">
        <v>121</v>
      </c>
      <c r="C55" s="8">
        <v>1540015449.834424</v>
      </c>
      <c r="D55" s="8">
        <v>0.55136666192572859</v>
      </c>
      <c r="E55" s="8">
        <v>-0.33954592834401615</v>
      </c>
      <c r="F55" s="8">
        <v>11.413217544555664</v>
      </c>
      <c r="G55" s="8">
        <v>5.4632812847855483</v>
      </c>
      <c r="H55" s="8">
        <v>37696870.696865052</v>
      </c>
      <c r="I55" s="8">
        <v>-21945813.146852873</v>
      </c>
      <c r="J55" s="8">
        <v>34.019261885559239</v>
      </c>
      <c r="K55" s="8">
        <v>93678919.435006037</v>
      </c>
      <c r="L55" s="8">
        <v>51192047.401083931</v>
      </c>
      <c r="M55" s="8">
        <v>6.1150007999999998</v>
      </c>
      <c r="N55" s="8">
        <v>3.8023550769230772</v>
      </c>
      <c r="O55" s="7" t="e">
        <f ca="1">_xll.BDP($A55,"LISTING_DATE",$A$1,$A$2)</f>
        <v>#NAME?</v>
      </c>
    </row>
    <row r="56" spans="1:15" s="3" customFormat="1" ht="13.2">
      <c r="A56" s="7" t="s">
        <v>122</v>
      </c>
      <c r="B56" s="7" t="s">
        <v>123</v>
      </c>
      <c r="C56" s="8">
        <v>3151181851.290689</v>
      </c>
      <c r="D56" s="8">
        <v>0.53091620965587316</v>
      </c>
      <c r="E56" s="8">
        <v>-1.3341036755274447</v>
      </c>
      <c r="F56" s="8">
        <v>6.2258052825927734</v>
      </c>
      <c r="G56" s="8">
        <v>14.175314571425112</v>
      </c>
      <c r="H56" s="8">
        <v>196783024.37431908</v>
      </c>
      <c r="I56" s="8">
        <v>-41740706.445914395</v>
      </c>
      <c r="J56" s="8">
        <v>23.933090080273363</v>
      </c>
      <c r="K56" s="8">
        <v>374880169.76108444</v>
      </c>
      <c r="L56" s="8">
        <v>252358340.73665458</v>
      </c>
      <c r="M56" s="8">
        <v>26.147768799999998</v>
      </c>
      <c r="N56" s="8">
        <v>20.955029999999997</v>
      </c>
      <c r="O56" s="7" t="e">
        <f ca="1">_xll.BDP($A56,"LISTING_DATE",$A$1,$A$2)</f>
        <v>#NAME?</v>
      </c>
    </row>
    <row r="57" spans="1:15" s="3" customFormat="1" ht="13.2">
      <c r="A57" s="7" t="s">
        <v>124</v>
      </c>
      <c r="B57" s="7" t="s">
        <v>125</v>
      </c>
      <c r="C57" s="8">
        <v>1807190443.2302821</v>
      </c>
      <c r="D57" s="8">
        <v>0.51066860681056447</v>
      </c>
      <c r="E57" s="8">
        <v>-3.2822696025343179</v>
      </c>
      <c r="F57" s="8">
        <v>5.1978931427001953</v>
      </c>
      <c r="G57" s="8">
        <v>12.434183696497293</v>
      </c>
      <c r="H57" s="8">
        <v>140091059.99191827</v>
      </c>
      <c r="I57" s="8">
        <v>-16221958.519770427</v>
      </c>
      <c r="J57" s="8">
        <v>33.104511963477478</v>
      </c>
      <c r="K57" s="8">
        <v>145917239.33932483</v>
      </c>
      <c r="L57" s="8">
        <v>128295043.09604789</v>
      </c>
      <c r="M57" s="8">
        <v>43.054769700000001</v>
      </c>
      <c r="N57" s="8">
        <v>40.989069999999998</v>
      </c>
      <c r="O57" s="7" t="e">
        <f ca="1">_xll.BDP($A57,"LISTING_DATE",$A$1,$A$2)</f>
        <v>#NAME?</v>
      </c>
    </row>
    <row r="58" spans="1:15" s="3" customFormat="1" ht="13.2">
      <c r="A58" s="7" t="s">
        <v>126</v>
      </c>
      <c r="B58" s="7" t="s">
        <v>127</v>
      </c>
      <c r="C58" s="8">
        <v>3494663602.7151999</v>
      </c>
      <c r="D58" s="8">
        <v>0.4801323080343356</v>
      </c>
      <c r="E58" s="8">
        <v>4.9642195866486487E-2</v>
      </c>
      <c r="F58" s="8">
        <v>11.438035011291504</v>
      </c>
      <c r="G58" s="8">
        <v>26.043837742573817</v>
      </c>
      <c r="H58" s="8">
        <v>48424992.807782106</v>
      </c>
      <c r="I58" s="8">
        <v>-18057037.653307389</v>
      </c>
      <c r="J58" s="8">
        <v>15.13170521786464</v>
      </c>
      <c r="K58" s="8">
        <v>195031295.25446045</v>
      </c>
      <c r="L58" s="8">
        <v>128381739.1013267</v>
      </c>
      <c r="M58" s="8">
        <v>19.356401399999999</v>
      </c>
      <c r="N58" s="8">
        <v>17.780829999999998</v>
      </c>
      <c r="O58" s="7" t="e">
        <f ca="1">_xll.BDP($A58,"LISTING_DATE",$A$1,$A$2)</f>
        <v>#NAME?</v>
      </c>
    </row>
    <row r="59" spans="1:15" s="3" customFormat="1" ht="13.2">
      <c r="A59" s="7" t="s">
        <v>128</v>
      </c>
      <c r="B59" s="7" t="s">
        <v>129</v>
      </c>
      <c r="C59" s="8">
        <v>2780015526.969727</v>
      </c>
      <c r="D59" s="8">
        <v>0.47977197288265316</v>
      </c>
      <c r="E59" s="8">
        <v>0.91473009090788193</v>
      </c>
      <c r="F59" s="8">
        <v>3.7553031444549561</v>
      </c>
      <c r="G59" s="8">
        <v>103.76341644162115</v>
      </c>
      <c r="H59" s="8">
        <v>281607209.83618677</v>
      </c>
      <c r="I59" s="8">
        <v>-28968395.726848245</v>
      </c>
      <c r="J59" s="8">
        <v>27.186095402917875</v>
      </c>
      <c r="K59" s="8">
        <v>501339287.95296854</v>
      </c>
      <c r="L59" s="8">
        <v>350687696.53559613</v>
      </c>
      <c r="M59" s="8">
        <v>8.48920925</v>
      </c>
      <c r="N59" s="8">
        <v>8.1626499999999993</v>
      </c>
      <c r="O59" s="7" t="e">
        <f ca="1">_xll.BDP($A59,"LISTING_DATE",$A$1,$A$2)</f>
        <v>#NAME?</v>
      </c>
    </row>
    <row r="60" spans="1:15" s="3" customFormat="1" ht="13.2">
      <c r="A60" s="7" t="s">
        <v>130</v>
      </c>
      <c r="B60" s="7" t="s">
        <v>131</v>
      </c>
      <c r="C60" s="8">
        <v>106488114522.013</v>
      </c>
      <c r="D60" s="8">
        <v>0.45432962636092478</v>
      </c>
      <c r="E60" s="8">
        <v>0.76461277787360116</v>
      </c>
      <c r="F60" s="8">
        <v>2.385159969329834</v>
      </c>
      <c r="G60" s="8">
        <v>13.682057626015908</v>
      </c>
      <c r="H60" s="8">
        <v>1674857380.9727623</v>
      </c>
      <c r="I60" s="8">
        <v>-800458080.0778209</v>
      </c>
      <c r="J60" s="8">
        <v>15.54392604920106</v>
      </c>
      <c r="K60" s="8">
        <v>11728166685.218866</v>
      </c>
      <c r="L60" s="8">
        <v>9321330924.4931431</v>
      </c>
      <c r="M60" s="8">
        <v>17.255161699999999</v>
      </c>
      <c r="N60" s="8">
        <v>15.447970000000002</v>
      </c>
      <c r="O60" s="7" t="e">
        <f ca="1">_xll.BDP($A60,"LISTING_DATE",$A$1,$A$2)</f>
        <v>#NAME?</v>
      </c>
    </row>
    <row r="61" spans="1:15" s="3" customFormat="1" ht="13.2">
      <c r="A61" s="7" t="s">
        <v>132</v>
      </c>
      <c r="B61" s="7" t="s">
        <v>133</v>
      </c>
      <c r="C61" s="8">
        <v>6207352059.8221226</v>
      </c>
      <c r="D61" s="8">
        <v>0.42066413158282367</v>
      </c>
      <c r="E61" s="8">
        <v>-0.18449410270544317</v>
      </c>
      <c r="F61" s="8">
        <v>5.222501277923584</v>
      </c>
      <c r="G61" s="8">
        <v>9.9299486109849298</v>
      </c>
      <c r="H61" s="8">
        <v>282136206.27666569</v>
      </c>
      <c r="I61" s="8">
        <v>-89480853.94264707</v>
      </c>
      <c r="J61" s="8">
        <v>22.623362944534239</v>
      </c>
      <c r="K61" s="8">
        <v>1016087384.6153846</v>
      </c>
      <c r="L61" s="8">
        <v>625578352.94117641</v>
      </c>
      <c r="M61" s="8">
        <v>17.123133599999999</v>
      </c>
      <c r="N61" s="8">
        <v>13.883459999999999</v>
      </c>
      <c r="O61" s="7" t="e">
        <f ca="1">_xll.BDP($A61,"LISTING_DATE",$A$1,$A$2)</f>
        <v>#NAME?</v>
      </c>
    </row>
    <row r="62" spans="1:15" s="3" customFormat="1" ht="13.2">
      <c r="A62" s="7" t="s">
        <v>134</v>
      </c>
      <c r="B62" s="7" t="s">
        <v>135</v>
      </c>
      <c r="C62" s="8">
        <v>12255073644.46109</v>
      </c>
      <c r="D62" s="8">
        <v>0.36886505319743612</v>
      </c>
      <c r="E62" s="8">
        <v>1.1725892194631078</v>
      </c>
      <c r="F62" s="8">
        <v>23.50128173828125</v>
      </c>
      <c r="G62" s="8">
        <v>120.37086280115274</v>
      </c>
      <c r="H62" s="8">
        <v>2320464798.7665367</v>
      </c>
      <c r="I62" s="8">
        <v>0</v>
      </c>
      <c r="J62" s="8">
        <v>22.941291002787043</v>
      </c>
      <c r="K62" s="8">
        <v>1208256037.0050385</v>
      </c>
      <c r="L62" s="8">
        <v>803234397.54073656</v>
      </c>
      <c r="M62" s="8">
        <v>63.578402500000003</v>
      </c>
      <c r="N62" s="8">
        <v>52.029150000000001</v>
      </c>
      <c r="O62" s="7" t="e">
        <f ca="1">_xll.BDP($A62,"LISTING_DATE",$A$1,$A$2)</f>
        <v>#NAME?</v>
      </c>
    </row>
    <row r="63" spans="1:15" s="3" customFormat="1" ht="13.2">
      <c r="A63" s="7" t="s">
        <v>136</v>
      </c>
      <c r="B63" s="7" t="s">
        <v>137</v>
      </c>
      <c r="C63" s="8">
        <v>4837326132.147892</v>
      </c>
      <c r="D63" s="8">
        <v>0.32327783540722055</v>
      </c>
      <c r="E63" s="8">
        <v>1.2925490113158609</v>
      </c>
      <c r="F63" s="8">
        <v>6.7132372856140137</v>
      </c>
      <c r="G63" s="8">
        <v>4.1822368277402822</v>
      </c>
      <c r="H63" s="8">
        <v>106289617.62996107</v>
      </c>
      <c r="I63" s="8">
        <v>-25220463.126070037</v>
      </c>
      <c r="J63" s="8">
        <v>22.323600458523199</v>
      </c>
      <c r="K63" s="8">
        <v>328314743.50883317</v>
      </c>
      <c r="L63" s="8">
        <v>212406953.39250466</v>
      </c>
      <c r="M63" s="8">
        <v>31.909160500000002</v>
      </c>
      <c r="N63" s="8">
        <v>27.104009999999999</v>
      </c>
      <c r="O63" s="7" t="e">
        <f ca="1">_xll.BDP($A63,"LISTING_DATE",$A$1,$A$2)</f>
        <v>#NAME?</v>
      </c>
    </row>
    <row r="64" spans="1:15" s="3" customFormat="1" ht="13.2">
      <c r="A64" s="7" t="s">
        <v>138</v>
      </c>
      <c r="B64" s="7" t="s">
        <v>139</v>
      </c>
      <c r="C64" s="8">
        <v>5282071477.1601887</v>
      </c>
      <c r="D64" s="8">
        <v>0.29343694737803749</v>
      </c>
      <c r="E64" s="8">
        <v>-14.516099903843365</v>
      </c>
      <c r="F64" s="8">
        <v>11.021768569946289</v>
      </c>
      <c r="G64" s="8">
        <v>17.679374560606664</v>
      </c>
      <c r="H64" s="8">
        <v>962267096.29516721</v>
      </c>
      <c r="I64" s="8">
        <v>-4411711.8129999992</v>
      </c>
      <c r="J64" s="8">
        <v>26.391556658486564</v>
      </c>
      <c r="K64" s="8">
        <v>100320567.36702336</v>
      </c>
      <c r="L64" s="8">
        <v>73971165.865143225</v>
      </c>
      <c r="M64" s="8">
        <v>18.8787962</v>
      </c>
      <c r="N64" s="8">
        <v>13.15287</v>
      </c>
      <c r="O64" s="7" t="e">
        <f ca="1">_xll.BDP($A64,"LISTING_DATE",$A$1,$A$2)</f>
        <v>#NAME?</v>
      </c>
    </row>
    <row r="65" spans="1:15" s="3" customFormat="1" ht="13.2">
      <c r="A65" s="7" t="s">
        <v>140</v>
      </c>
      <c r="B65" s="7" t="s">
        <v>141</v>
      </c>
      <c r="C65" s="8">
        <v>1038832358.6386321</v>
      </c>
      <c r="D65" s="8">
        <v>0.24123794020578143</v>
      </c>
      <c r="E65" s="8">
        <v>0.86811293809830548</v>
      </c>
      <c r="F65" s="8">
        <v>5.4275264739990234</v>
      </c>
      <c r="G65" s="8">
        <v>9.2500002660333092</v>
      </c>
      <c r="H65" s="8">
        <v>10210692.851269413</v>
      </c>
      <c r="I65" s="8">
        <v>-4261412.0675977236</v>
      </c>
      <c r="J65" s="8">
        <v>28.337224585384384</v>
      </c>
      <c r="K65" s="8">
        <v>128255838.41784137</v>
      </c>
      <c r="L65" s="8">
        <v>78799354.793463781</v>
      </c>
      <c r="M65" s="8">
        <v>7.5277865999999989</v>
      </c>
      <c r="N65" s="8">
        <v>6.2503061999999998</v>
      </c>
      <c r="O65" s="7" t="e">
        <f ca="1">_xll.BDP($A65,"LISTING_DATE",$A$1,$A$2)</f>
        <v>#NAME?</v>
      </c>
    </row>
    <row r="66" spans="1:15" s="3" customFormat="1" ht="13.2">
      <c r="A66" s="7" t="s">
        <v>142</v>
      </c>
      <c r="B66" s="7" t="s">
        <v>143</v>
      </c>
      <c r="C66" s="8">
        <v>2644925660.6987028</v>
      </c>
      <c r="D66" s="8">
        <v>0.2061970034130465</v>
      </c>
      <c r="E66" s="8">
        <v>1.0283331208072171</v>
      </c>
      <c r="F66" s="8">
        <v>15.605710983276367</v>
      </c>
      <c r="G66" s="8">
        <v>8.566901409196781</v>
      </c>
      <c r="H66" s="8">
        <v>13138526.797529181</v>
      </c>
      <c r="I66" s="8">
        <v>-4747487.769677042</v>
      </c>
      <c r="J66" s="8">
        <v>31.936253122907321</v>
      </c>
      <c r="K66" s="8">
        <v>103415663.75633059</v>
      </c>
      <c r="L66" s="8">
        <v>63226548.009325638</v>
      </c>
      <c r="M66" s="8">
        <v>35.838244400000001</v>
      </c>
      <c r="N66" s="8">
        <v>28.549509999999998</v>
      </c>
      <c r="O66" s="7" t="e">
        <f ca="1">_xll.BDP($A66,"LISTING_DATE",$A$1,$A$2)</f>
        <v>#NAME?</v>
      </c>
    </row>
    <row r="67" spans="1:15" s="3" customFormat="1" ht="13.2">
      <c r="A67" s="7" t="s">
        <v>144</v>
      </c>
      <c r="B67" s="7" t="s">
        <v>145</v>
      </c>
      <c r="C67" s="8">
        <v>3969899745.5078368</v>
      </c>
      <c r="D67" s="8">
        <v>0.18642041894511469</v>
      </c>
      <c r="E67" s="8">
        <v>-3.1583045046236109E-3</v>
      </c>
      <c r="F67" s="8">
        <v>3.5442531108856201</v>
      </c>
      <c r="G67" s="8">
        <v>5.6137850421011048</v>
      </c>
      <c r="H67" s="8">
        <v>46263543.040856026</v>
      </c>
      <c r="I67" s="8">
        <v>-10034710.959533073</v>
      </c>
      <c r="J67" s="8">
        <v>14.251524118999576</v>
      </c>
      <c r="K67" s="8">
        <v>344057166.53225172</v>
      </c>
      <c r="L67" s="8">
        <v>245471115.96059269</v>
      </c>
      <c r="M67" s="8">
        <v>1724.1212950000001</v>
      </c>
      <c r="N67" s="8">
        <v>1479.24092</v>
      </c>
      <c r="O67" s="7" t="e">
        <f ca="1">_xll.BDP($A67,"LISTING_DATE",$A$1,$A$2)</f>
        <v>#NAME?</v>
      </c>
    </row>
    <row r="68" spans="1:15" s="3" customFormat="1" ht="13.2">
      <c r="A68" s="7" t="s">
        <v>146</v>
      </c>
      <c r="B68" s="7" t="s">
        <v>147</v>
      </c>
      <c r="C68" s="8">
        <v>4957980344.0933475</v>
      </c>
      <c r="D68" s="8">
        <v>0.16145449471922446</v>
      </c>
      <c r="E68" s="8">
        <v>1.2387772285021568</v>
      </c>
      <c r="F68" s="8">
        <v>7.7536225318908691</v>
      </c>
      <c r="G68" s="8">
        <v>67.951074674851952</v>
      </c>
      <c r="H68" s="8">
        <v>58983562.528560303</v>
      </c>
      <c r="I68" s="8">
        <v>-12880264.901459143</v>
      </c>
      <c r="J68" s="8">
        <v>22.932487497976325</v>
      </c>
      <c r="K68" s="8">
        <v>207928739.2892347</v>
      </c>
      <c r="L68" s="8">
        <v>126175370.97571835</v>
      </c>
      <c r="M68" s="8">
        <v>10.21885425</v>
      </c>
      <c r="N68" s="8">
        <v>7.9880100000000001</v>
      </c>
      <c r="O68" s="7" t="e">
        <f ca="1">_xll.BDP($A68,"LISTING_DATE",$A$1,$A$2)</f>
        <v>#NAME?</v>
      </c>
    </row>
    <row r="69" spans="1:15" s="3" customFormat="1" ht="13.2">
      <c r="A69" s="7" t="s">
        <v>148</v>
      </c>
      <c r="B69" s="7" t="s">
        <v>149</v>
      </c>
      <c r="C69" s="8">
        <v>1433938969.8279619</v>
      </c>
      <c r="D69" s="8">
        <v>0.12388502969187833</v>
      </c>
      <c r="E69" s="8">
        <v>-9.8109999948794539E-3</v>
      </c>
      <c r="F69" s="8">
        <v>9.5556001663208008</v>
      </c>
      <c r="G69" s="8">
        <v>114.64061488830883</v>
      </c>
      <c r="H69" s="8">
        <v>52258105.694941625</v>
      </c>
      <c r="I69" s="8">
        <v>-6185035.2389105046</v>
      </c>
      <c r="J69" s="8">
        <v>25.952669003169067</v>
      </c>
      <c r="K69" s="8">
        <v>835508000.18942499</v>
      </c>
      <c r="L69" s="8">
        <v>533020856.69764364</v>
      </c>
      <c r="M69" s="8">
        <v>13.511317200000001</v>
      </c>
      <c r="N69" s="8">
        <v>12.392949999999999</v>
      </c>
      <c r="O69" s="7" t="e">
        <f ca="1">_xll.BDP($A69,"LISTING_DATE",$A$1,$A$2)</f>
        <v>#NAME?</v>
      </c>
    </row>
    <row r="70" spans="1:15" s="3" customFormat="1" ht="13.2">
      <c r="A70" s="7" t="s">
        <v>150</v>
      </c>
      <c r="B70" s="7" t="s">
        <v>151</v>
      </c>
      <c r="C70" s="8">
        <v>4015729055.977221</v>
      </c>
      <c r="D70" s="8">
        <v>0.10766573080613551</v>
      </c>
      <c r="E70" s="8">
        <v>-0.14257585341467893</v>
      </c>
      <c r="F70" s="8">
        <v>27.452299118041992</v>
      </c>
      <c r="G70" s="8">
        <v>35.230558209217186</v>
      </c>
      <c r="H70" s="8">
        <v>173771333.39649802</v>
      </c>
      <c r="I70" s="8">
        <v>-11916958.676653694</v>
      </c>
      <c r="J70" s="8">
        <v>24.96944607631254</v>
      </c>
      <c r="K70" s="8">
        <v>294813463.21016574</v>
      </c>
      <c r="L70" s="8">
        <v>189830433.99236625</v>
      </c>
      <c r="M70" s="8">
        <v>148.49281300000001</v>
      </c>
      <c r="N70" s="8">
        <v>124.37966999999999</v>
      </c>
      <c r="O70" s="7" t="e">
        <f ca="1">_xll.BDP($A70,"LISTING_DATE",$A$1,$A$2)</f>
        <v>#NAME?</v>
      </c>
    </row>
    <row r="71" spans="1:15" s="3" customFormat="1" ht="13.2">
      <c r="A71" s="7" t="s">
        <v>152</v>
      </c>
      <c r="B71" s="7" t="s">
        <v>153</v>
      </c>
      <c r="C71" s="8">
        <v>21760827056.59774</v>
      </c>
      <c r="D71" s="8">
        <v>3.3641286425448558E-2</v>
      </c>
      <c r="E71" s="8">
        <v>1.86919999934655</v>
      </c>
      <c r="F71" s="8">
        <v>3.9133937358856201</v>
      </c>
      <c r="G71" s="8">
        <v>220.9719275683438</v>
      </c>
      <c r="H71" s="8">
        <v>1171117160.1211321</v>
      </c>
      <c r="I71" s="8">
        <v>-190865234.50413084</v>
      </c>
      <c r="J71" s="8">
        <v>29.0643379916032</v>
      </c>
      <c r="K71" s="8">
        <v>2301687618.6413565</v>
      </c>
      <c r="L71" s="8">
        <v>2034232731.1506877</v>
      </c>
      <c r="M71" s="8">
        <v>16.043300000000002</v>
      </c>
      <c r="N71" s="8">
        <v>13.5762</v>
      </c>
      <c r="O71" s="7" t="e">
        <f ca="1">_xll.BDP($A71,"LISTING_DATE",$A$1,$A$2)</f>
        <v>#NAME?</v>
      </c>
    </row>
    <row r="73" spans="1:15" ht="40.049999999999997" customHeight="1">
      <c r="A73" s="9" t="s">
        <v>154</v>
      </c>
      <c r="B73" s="9"/>
      <c r="C73" s="9"/>
      <c r="D73" s="9"/>
      <c r="E73" s="9"/>
      <c r="F73" s="9"/>
      <c r="G73" s="9"/>
      <c r="H73" s="9"/>
      <c r="I73" s="9"/>
      <c r="J73" s="9"/>
      <c r="K73" s="9"/>
      <c r="L73" s="9"/>
      <c r="M73" s="9"/>
      <c r="N73" s="9"/>
      <c r="O73" s="9"/>
    </row>
  </sheetData>
  <mergeCells count="1">
    <mergeCell ref="A73:O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id:692f9d06a5040000 on NXPGR-PW-546</cp:keywords>
  <cp:lastModifiedBy>Barry Ehrlich</cp:lastModifiedBy>
  <dcterms:created xsi:type="dcterms:W3CDTF">2025-12-03T02:15:07Z</dcterms:created>
  <dcterms:modified xsi:type="dcterms:W3CDTF">2025-12-03T02:36:21Z</dcterms:modified>
</cp:coreProperties>
</file>